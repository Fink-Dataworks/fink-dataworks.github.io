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05396547e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7926ba94dd1424c"/>
    <x:sheet xmlns:r="http://schemas.openxmlformats.org/officeDocument/2006/relationships" name="DASHBOARD" sheetId="2" r:id="Ra06af731a7e048d7"/>
    <x:sheet xmlns:r="http://schemas.openxmlformats.org/officeDocument/2006/relationships" name="RAW INTAKE" sheetId="3" r:id="Rbd1dd3ae24ed4841"/>
    <x:sheet xmlns:r="http://schemas.openxmlformats.org/officeDocument/2006/relationships" name="CLEANED RECORDS" sheetId="4" r:id="Rebafe674640b4b7e"/>
    <x:sheet xmlns:r="http://schemas.openxmlformats.org/officeDocument/2006/relationships" name="REVIEW QUEUE" sheetId="5" r:id="R374c962511044838"/>
    <x:sheet xmlns:r="http://schemas.openxmlformats.org/officeDocument/2006/relationships" name="CHANGE LOG" sheetId="6" r:id="R21908f5da7a94226"/>
    <x:sheet xmlns:r="http://schemas.openxmlformats.org/officeDocument/2006/relationships" name="RULES &amp; NOTES" sheetId="7" r:id="R9e9cd1214c21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14">
    <x:font>
      <x:sz val="11"/>
      <x:name val="Carlito"/>
    </x:font>
    <x:font>
      <x:b/>
      <x:sz val="19"/>
      <x:color rgb="FFFFFFFF"/>
      <x:name val="Aptos Display"/>
    </x:font>
    <x:font>
      <x:sz val="10"/>
      <x:color rgb="FFB8D6E8"/>
      <x:name val="Aptos"/>
    </x:font>
    <x:font>
      <x:b/>
      <x:sz val="10"/>
      <x:color rgb="FFFFFFFF"/>
      <x:name val="Carlito"/>
    </x:font>
    <x:font>
      <x:b/>
      <x:sz val="11"/>
      <x:color rgb="FF111827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1"/>
      <x:name val="Aptos"/>
    </x:font>
    <x:font>
      <x:sz val="10"/>
      <x:name val="Aptos"/>
    </x:font>
    <x:font>
      <x:sz val="11"/>
      <x:color rgb="FF111827"/>
      <x:name val="Carlito"/>
    </x:font>
    <x:font>
      <x:b/>
      <x:sz val="10"/>
      <x:color rgb="FFBAD4E7"/>
      <x:name val="Carlito"/>
    </x:font>
    <x:font>
      <x:b/>
      <x:sz val="27"/>
      <x:color rgb="FF111827"/>
      <x:name val="Carlito"/>
    </x:font>
    <x:font>
      <x:b/>
      <x:sz val="11"/>
      <x:color rgb="FF17406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23344B"/>
      </x:patternFill>
    </x:fill>
    <x:fill>
      <x:patternFill patternType="solid">
        <x:fgColor rgb="FF2563EB"/>
      </x:patternFill>
    </x:fill>
    <x:fill>
      <x:patternFill patternType="solid">
        <x:fgColor rgb="FFE8F5FB"/>
      </x:patternFill>
    </x:fill>
    <x:fill>
      <x:patternFill patternType="solid">
        <x:fgColor rgb="FFFFFFFF"/>
      </x:patternFill>
    </x:fill>
    <x:fill>
      <x:patternFill patternType="solid">
        <x:fgColor rgb="FF06B6D4"/>
      </x:patternFill>
    </x:fill>
    <x:fill>
      <x:patternFill patternType="solid">
        <x:fgColor rgb="FFF1F5F9"/>
      </x:patternFill>
    </x:fill>
    <x:fill>
      <x:patternFill patternType="solid">
        <x:fgColor rgb="FFFFF7E2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center"/>
    </x:xf>
    <x:xf numFmtId="0" fontId="12" fillId="8" borderId="0" xfId="0" applyNumberFormat="1" applyFont="1" applyFill="1" applyBorder="1" applyAlignment="1">
      <x:alignment horizontal="center" vertical="center"/>
    </x:xf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horizontal="center"/>
    </x:xf>
    <x:xf numFmtId="0" fontId="12" fillId="8" borderId="1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1" xfId="0" applyNumberFormat="1" applyFont="1" applyFill="1" applyBorder="1"/>
    <x:xf numFmtId="0" fontId="13" fillId="5" borderId="1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200" fontId="6" fillId="4" borderId="0" xfId="0" applyNumberFormat="1" applyFont="1" applyFill="1" applyBorder="1"/>
    <x:xf numFmtId="200" fontId="6" fillId="4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/>
    <x:xf numFmtId="200" fontId="6" fillId="9" borderId="0" xfId="0" applyNumberFormat="1" applyFont="1" applyFill="1" applyBorder="1"/>
    <x:xf numFmtId="0" fontId="4" fillId="9" borderId="0" xfId="0" applyNumberFormat="1" applyFont="1" applyFill="1" applyBorder="1"/>
    <x:xf numFmtId="200" fontId="4" fillId="9" borderId="0" xfId="0" applyNumberFormat="1" applyFont="1" applyFill="1" applyBorder="1"/>
    <x:xf numFmtId="0" fontId="6" fillId="9" borderId="1" xfId="0" applyNumberFormat="1" applyFont="1" applyFill="1" applyBorder="1"/>
    <x:xf numFmtId="200" fontId="6" fillId="9" borderId="1" xfId="0" applyNumberFormat="1" applyFont="1" applyFill="1" applyBorder="1"/>
    <x:xf numFmtId="0" fontId="4" fillId="9" borderId="1" xfId="0" applyNumberFormat="1" applyFont="1" applyFill="1" applyBorder="1"/>
    <x:xf numFmtId="200" fontId="4" fillId="9" borderId="1" xfId="0" applyNumberFormat="1" applyFont="1" applyFill="1" applyBorder="1"/>
  </x:cellXfs>
  <x:cellStyles count="1">
    <x:cellStyle name="Normal" xfId="0"/>
  </x:cellStyles>
  <x:dxfs count="8">
    <x:dxf>
      <x:font>
        <x:b/>
        <x:color rgb="FF92400E"/>
      </x:font>
      <x:fill>
        <x:patternFill patternType="solid">
          <x:bgColor rgb="FFFFF7E2"/>
        </x:patternFill>
      </x:fill>
    </x:dxf>
    <x:dxf>
      <x:font>
        <x:b/>
        <x:color rgb="FF047857"/>
      </x:font>
      <x:fill>
        <x:patternFill patternType="solid">
          <x:bgColor rgb="FFE5F6EE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FFF7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FFF7E2"/>
        </x:patternFill>
      </x:fill>
    </x:dxf>
    <x:dxf>
      <x:fill>
        <x:patternFill patternType="solid">
          <x:bgColor rgb="FFFFF7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594d644f14be1" /><Relationship Type="http://schemas.openxmlformats.org/officeDocument/2006/relationships/theme" Target="/xl/theme/theme1.xml" Id="R4c246815da2a48d5" /><Relationship Type="http://schemas.openxmlformats.org/officeDocument/2006/relationships/sharedStrings" Target="/xl/sharedStrings.xml" Id="R938e95d30a244314" /><Relationship Type="http://schemas.openxmlformats.org/officeDocument/2006/relationships/worksheet" Target="/xl/worksheets/sheet1.xml" Id="R97926ba94dd1424c" /><Relationship Type="http://schemas.openxmlformats.org/officeDocument/2006/relationships/worksheet" Target="/xl/worksheets/sheet2.xml" Id="Ra06af731a7e048d7" /><Relationship Type="http://schemas.openxmlformats.org/officeDocument/2006/relationships/worksheet" Target="/xl/worksheets/sheet3.xml" Id="Rbd1dd3ae24ed4841" /><Relationship Type="http://schemas.openxmlformats.org/officeDocument/2006/relationships/worksheet" Target="/xl/worksheets/sheet4.xml" Id="Rebafe674640b4b7e" /><Relationship Type="http://schemas.openxmlformats.org/officeDocument/2006/relationships/worksheet" Target="/xl/worksheets/sheet5.xml" Id="R374c962511044838" /><Relationship Type="http://schemas.openxmlformats.org/officeDocument/2006/relationships/worksheet" Target="/xl/worksheets/sheet6.xml" Id="R21908f5da7a94226" /><Relationship Type="http://schemas.openxmlformats.org/officeDocument/2006/relationships/worksheet" Target="/xl/worksheets/sheet7.xml" Id="R9e9cd1214c2145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557332fc634e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Records by category (including unresolved)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Source Rows</c:v>
          </c:tx>
          <c:cat>
            <c:strRef>
              <c:f>'DASHBOARD'!$A$15:$A$25</c:f>
              <c:strCache>
                <c:ptCount val="0"/>
              </c:strCache>
            </c:strRef>
          </c:cat>
          <c:val>
            <c:numRef>
              <c:f>'DASHBOARD'!$B$15:$B$25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Ready</c:v>
          </c:tx>
          <c:cat>
            <c:strRef>
              <c:f>'DASHBOARD'!$A$15:$A$25</c:f>
              <c:strCache>
                <c:ptCount val="0"/>
              </c:strCache>
            </c:strRef>
          </c:cat>
          <c:val>
            <c:numRef>
              <c:f>'DASHBOARD'!$C$15:$C$25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Review</c:v>
          </c:tx>
          <c:cat>
            <c:strRef>
              <c:f>'DASHBOARD'!$A$15:$A$25</c:f>
              <c:strCache>
                <c:ptCount val="0"/>
              </c:strCache>
            </c:strRef>
          </c:cat>
          <c:val>
            <c:numRef>
              <c:f>'DASHBOARD'!$D$15:$D$25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557332fc634e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INTAKETable" displayName="RAWINTAKETable" ref="A5:L138" headerRowCount="1" totalsRowCount="0" totalsRowShown="0">
  <x:tableColumns count="12">
    <x:tableColumn id="1" name="Source Record"/>
    <x:tableColumn id="2" name="Part ID"/>
    <x:tableColumn id="3" name="Part Description"/>
    <x:tableColumn id="4" name="Category"/>
    <x:tableColumn id="5" name="Storage Bin"/>
    <x:tableColumn id="6" name="Unit"/>
    <x:tableColumn id="7" name="On Hand"/>
    <x:tableColumn id="8" name="Reorder Point"/>
    <x:tableColumn id="9" name="Unit Cost USD"/>
    <x:tableColumn id="10" name="Supplier"/>
    <x:tableColumn id="11" name="Last Counted"/>
    <x:tableColumn id="12" name="Sourc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EDRECORDSTable" displayName="CLEANEDRECORDSTable" ref="A5:P138" headerRowCount="1" totalsRowCount="0" totalsRowShown="0">
  <x:tableColumns count="16">
    <x:tableColumn id="1" name="Source ID"/>
    <x:tableColumn id="2" name="Normalized SKU"/>
    <x:tableColumn id="3" name="Description"/>
    <x:tableColumn id="4" name="Category"/>
    <x:tableColumn id="5" name="Bin"/>
    <x:tableColumn id="6" name="UOM"/>
    <x:tableColumn id="7" name="On Hand"/>
    <x:tableColumn id="8" name="Reorder Min"/>
    <x:tableColumn id="9" name="Unit Cost"/>
    <x:tableColumn id="10" name="Supplier"/>
    <x:tableColumn id="11" name="Count Date"/>
    <x:tableColumn id="12" name="Duplicate Group"/>
    <x:tableColumn id="13" name="Issue Count"/>
    <x:tableColumn id="14" name="Release Status"/>
    <x:tableColumn id="15" name="Line Value"/>
    <x:tableColumn id="16" name="Stock Sign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QUEUETable" displayName="REVIEWQUEUETable" ref="A5:J60" headerRowCount="1" totalsRowCount="0" totalsRowShown="0">
  <x:tableColumns count="10">
    <x:tableColumn id="1" name="Issue ID"/>
    <x:tableColumn id="2" name="Source ID"/>
    <x:tableColumn id="3" name="SKU"/>
    <x:tableColumn id="4" name="Field"/>
    <x:tableColumn id="5" name="Observed"/>
    <x:tableColumn id="6" name="Issue Code"/>
    <x:tableColumn id="7" name="Severity"/>
    <x:tableColumn id="8" name="Why It Matters"/>
    <x:tableColumn id="9" name="Required Next Step"/>
    <x:tableColumn id="10" name="Dispos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ANGELOGTable" displayName="CHANGELOGTable" ref="A5:G413" headerRowCount="1" totalsRowCount="0" totalsRowShown="0">
  <x:tableColumns count="7">
    <x:tableColumn id="1" name="Change ID"/>
    <x:tableColumn id="2" name="Source ID"/>
    <x:tableColumn id="3" name="Field"/>
    <x:tableColumn id="4" name="Before"/>
    <x:tableColumn id="5" name="After"/>
    <x:tableColumn id="6" name="Rule Applied"/>
    <x:tableColumn id="7" name="Class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427ae18aa0f48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1485e61d07e44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1f20de08ead40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60e0bb3513a4d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5c9424e4eb2413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1" hidden="0" customWidth="1"/>
    <x:col min="3" max="3" width="70" hidden="0" customWidth="1"/>
  </x:cols>
  <x:sheetData>
    <x:row r="1" ht="25" customHeight="1">
      <x:c r="A1" s="4" t="str">
        <x:v>FINK DATAWORKS  |  PROJECT 001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3" customHeight="1">
      <x:c r="A3" s="10" t="str">
        <x:v>Industrial Spare-Parts Inventory Rescue  •  Portfolio demonstration with 100% fictional data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26" customHeight="1">
      <x:c r="A5" s="15" t="str">
        <x:v>PURPOSE  /  WHAT THIS CASE STUDY DEMONSTRATES</x:v>
      </x:c>
      <x:c r="B5" s="15"/>
      <x:c r="C5" s="15"/>
      <x:c r="D5" s="15"/>
      <x:c r="E5" s="15"/>
      <x:c r="F5" s="15"/>
      <x:c r="G5" s="15"/>
      <x:c r="H5" s="15"/>
      <x:c r="I5" s="15"/>
      <x:c r="J5" s="15"/>
    </x:row>
    <x:row r="7" ht="44" customHeight="1">
      <x:c r="A7" s="20" t="str">
        <x:v>The situation</x:v>
      </x:c>
      <x:c r="B7" s="27" t="str">
        <x:v>Maintenance spare-parts exports are inconsistent: uneven naming, mismatched identifiers, duplicate part codes, missing counts, and uncertain locations.</x:v>
      </x:c>
    </x:row>
    <x:row r="8" ht="44" customHeight="1">
      <x:c r="A8" s="20" t="str">
        <x:v>Our response</x:v>
      </x:c>
      <x:c r="B8" s="27" t="str">
        <x:v>Preserve every original source row; normalize known formats; flag ambiguous data instead of guessing; provide a traceable change history.</x:v>
      </x:c>
    </x:row>
    <x:row r="9" ht="44" customHeight="1">
      <x:c r="A9" s="20" t="str">
        <x:v>Deliverables</x:v>
      </x:c>
      <x:c r="B9" s="27" t="str">
        <x:v>Cleaned records with status and formulas; exception queue; 408-field audit log; category dashboard; written transformation rules.</x:v>
      </x:c>
    </x:row>
    <x:row r="10" ht="44" customHeight="1">
      <x:c r="A10" s="20" t="str">
        <x:v>Quality principle</x:v>
      </x:c>
      <x:c r="B10" s="27" t="str">
        <x:v>A flagged record is not a failed project. It is a risk made visible before it becomes a costly operational mistake.</x:v>
      </x:c>
    </x:row>
    <x:row r="11" ht="44" customHeight="1">
      <x:c r="A11" s="20" t="str">
        <x:v>Privacy note</x:v>
      </x:c>
      <x:c r="B11" s="27" t="str">
        <x:v>All part IDs, names, suppliers, quantities, locations, and prices are synthetic. No real employer, client, or confidential data.</x:v>
      </x:c>
    </x:row>
    <x:row r="12" ht="44" customHeight="1">
      <x:c r="A12" s="20" t="str">
        <x:v>Accounting note</x:v>
      </x:c>
      <x:c r="B12" s="27" t="str">
        <x:v>Line values use invented unit costs and are illustrative only. Rows needing review are excluded from approved-value summary.</x:v>
      </x:c>
    </x:row>
    <x:row r="13" ht="44" customHeight="1">
      <x:c r="A13" s="20" t="str">
        <x:v>For Upwork</x:v>
      </x:c>
      <x:c r="B13" s="27" t="str">
        <x:v>Show screenshots of DASHBOARD and REVIEW QUEUE. Upload the workbook as proof of method, identifying it as a fictional demonstration.</x:v>
      </x:c>
    </x:row>
    <x:row r="14" ht="44" customHeight="1">
      <x:c r="A14" s="20" t="str">
        <x:v>Next client decision</x:v>
      </x:c>
      <x:c r="B14" s="27" t="str">
        <x:v>The customer must resolve issues listed in REVIEW QUEUE before affected rows are treated as dependable master records.</x:v>
      </x:c>
    </x:row>
    <x:row r="16" ht="26" customHeight="1">
      <x:c r="A16" s="32" t="str">
        <x:v>HOW TO EXPLORE THE WORKBOOK</x:v>
      </x:c>
      <x:c r="B16" s="32"/>
      <x:c r="C16" s="32"/>
      <x:c r="D16" s="32"/>
      <x:c r="E16" s="32"/>
      <x:c r="F16" s="32"/>
      <x:c r="G16" s="32"/>
      <x:c r="H16" s="32"/>
      <x:c r="I16" s="32"/>
      <x:c r="J16" s="32"/>
    </x:row>
    <x:row r="18" ht="31" customHeight="1">
      <x:c r="A18" s="35" t="str">
        <x:v>01</x:v>
      </x:c>
      <x:c r="B18" s="39" t="str">
        <x:v>RAW INTAKE</x:v>
      </x:c>
      <x:c r="C18" s="25" t="str">
        <x:v>Untouched inbound values; 133 source rows and their original source IDs.</x:v>
      </x:c>
    </x:row>
    <x:row r="19" ht="31" customHeight="1">
      <x:c r="A19" s="35" t="str">
        <x:v>02</x:v>
      </x:c>
      <x:c r="B19" s="39" t="str">
        <x:v>CLEANED RECORDS</x:v>
      </x:c>
      <x:c r="C19" s="25" t="str">
        <x:v>One-to-one cleaned view; computed REVIEW/READY status, line value and reorder state.</x:v>
      </x:c>
    </x:row>
    <x:row r="20" ht="31" customHeight="1">
      <x:c r="A20" s="35" t="str">
        <x:v>03</x:v>
      </x:c>
      <x:c r="B20" s="39" t="str">
        <x:v>REVIEW QUEUE</x:v>
      </x:c>
      <x:c r="C20" s="25" t="str">
        <x:v>Human decisions required: every uncertain record has a documented reason and next action.</x:v>
      </x:c>
    </x:row>
    <x:row r="21" ht="31" customHeight="1">
      <x:c r="A21" s="35" t="str">
        <x:v>04</x:v>
      </x:c>
      <x:c r="B21" s="39" t="str">
        <x:v>CHANGE LOG</x:v>
      </x:c>
      <x:c r="C21" s="25" t="str">
        <x:v>Field-by-field safe normalization history; reversible and traceable to original source IDs.</x:v>
      </x:c>
    </x:row>
    <x:row r="22" ht="31" customHeight="1">
      <x:c r="A22" s="35" t="str">
        <x:v>05</x:v>
      </x:c>
      <x:c r="B22" s="39" t="str">
        <x:v>DASHBOARD</x:v>
      </x:c>
      <x:c r="C22" s="25" t="str">
        <x:v>Formula-driven operational totals, category breakdown and records requiring attention.</x:v>
      </x:c>
    </x:row>
    <x:row r="23" ht="31" customHeight="1">
      <x:c r="A23" s="35" t="str">
        <x:v>06</x:v>
      </x:c>
      <x:c r="B23" s="39" t="str">
        <x:v>RULES &amp; NOTES</x:v>
      </x:c>
      <x:c r="C23" s="25" t="str">
        <x:v>Explicit normalization map, assumptions, and what the process deliberately never does.</x:v>
      </x:c>
    </x:row>
  </x:sheetData>
  <x:mergeCells>
    <x:mergeCell ref="A1:L2"/>
    <x:mergeCell ref="A3:L3"/>
    <x:mergeCell ref="A5:J5"/>
    <x:mergeCell ref="A16:J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20" hidden="0" customWidth="1"/>
    <x:col min="5" max="5" width="22" hidden="0" customWidth="1"/>
    <x:col min="6" max="6" width="15" hidden="0" customWidth="1"/>
    <x:col min="7" max="7" width="4" hidden="0" customWidth="1"/>
    <x:col min="8" max="8" width="1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2" hidden="0" customWidth="1"/>
    <x:col min="14" max="14" width="13" hidden="0" customWidth="1"/>
    <x:col min="15" max="15" width="13" hidden="0" customWidth="1"/>
  </x:cols>
  <x:sheetData>
    <x:row r="1" ht="25" customHeight="1">
      <x:c r="A1" s="4" t="str">
        <x:v>INVENTORY RESCUE  |  QA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3" customHeight="1">
      <x:c r="A3" s="10" t="str">
        <x:v>Fictional maintenance-parts dataset  •  Formula-driven rollups  •  Review statuses represent unresolved risk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23" customHeight="1">
      <x:c r="A5" s="67" t="str">
        <x:v>SOURCE ROWS</x:v>
      </x:c>
      <x:c r="B5" s="67"/>
      <x:c r="C5" s="67"/>
      <x:c r="D5" s="67" t="str">
        <x:v>REVIEW REQUIRED</x:v>
      </x:c>
      <x:c r="E5" s="67"/>
      <x:c r="F5" s="67"/>
      <x:c r="G5" s="67" t="str">
        <x:v>READY FOR USE</x:v>
      </x:c>
      <x:c r="H5" s="67"/>
      <x:c r="I5" s="67"/>
      <x:c r="J5" s="67" t="str">
        <x:v>SAFE FIELD CHANGES</x:v>
      </x:c>
      <x:c r="K5" s="67"/>
      <x:c r="L5" s="67"/>
    </x:row>
    <x:row r="6" ht="25" customHeight="1">
      <x:c r="A6" s="72" t="n">
        <x:f>COUNTA('RAW INTAKE'!$A$6:$A$138)</x:f>
        <x:v>133</x:v>
      </x:c>
      <x:c r="B6" s="72"/>
      <x:c r="C6" s="72"/>
      <x:c r="D6" s="72" t="n">
        <x:f>COUNTIF('CLEANED RECORDS'!$N$6:$N$138,"REVIEW")</x:f>
        <x:v>55</x:v>
      </x:c>
      <x:c r="E6" s="72"/>
      <x:c r="F6" s="72"/>
      <x:c r="G6" s="72" t="n">
        <x:f>COUNTIF('CLEANED RECORDS'!$N$6:$N$138,"READY")</x:f>
        <x:v>78</x:v>
      </x:c>
      <x:c r="H6" s="72"/>
      <x:c r="I6" s="72"/>
      <x:c r="J6" s="72" t="n">
        <x:f>COUNTA('CHANGE LOG'!$A$6:$A$413)</x:f>
        <x:v>408</x:v>
      </x:c>
      <x:c r="K6" s="72"/>
      <x:c r="L6" s="72"/>
    </x:row>
    <x:row r="7" ht="25" customHeight="1">
      <x:c r="A7" s="72"/>
      <x:c r="B7" s="72"/>
      <x:c r="C7" s="72"/>
      <x:c r="D7" s="72"/>
      <x:c r="E7" s="72"/>
      <x:c r="F7" s="72"/>
      <x:c r="G7" s="72"/>
      <x:c r="H7" s="72"/>
      <x:c r="I7" s="72"/>
      <x:c r="J7" s="72"/>
      <x:c r="K7" s="72"/>
      <x:c r="L7" s="72"/>
    </x:row>
    <x:row r="8" ht="25" customHeight="1">
      <x:c r="A8" s="72"/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2"/>
    </x:row>
    <x:row r="10" ht="25" customHeight="1">
      <x:c r="A10" s="78" t="str">
        <x:v>CONTROL: 133 intake rows → 133 retained normalized rows. No SKU merge, deletion, stock adjustment, or inferred vendor/cost is automatically accepted.</x:v>
      </x:c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</x:row>
    <x:row r="11" ht="25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</x:row>
    <x:row r="13" ht="29" customHeight="1">
      <x:c r="A13" s="32" t="str">
        <x:v>RECORDS BY PART CATEGORY</x:v>
      </x:c>
      <x:c r="B13" s="32"/>
      <x:c r="C13" s="32"/>
      <x:c r="D13" s="32"/>
      <x:c r="E13" s="32"/>
      <x:c r="F13" s="32"/>
    </x:row>
    <x:row r="14" ht="35" customHeight="1">
      <x:c r="A14" s="44" t="str">
        <x:v>Category</x:v>
      </x:c>
      <x:c r="B14" s="44" t="str">
        <x:v>Source Rows</x:v>
      </x:c>
      <x:c r="C14" s="44" t="str">
        <x:v>Ready</x:v>
      </x:c>
      <x:c r="D14" s="44" t="str">
        <x:v>Review</x:v>
      </x:c>
      <x:c r="E14" s="44" t="str">
        <x:v>Released Value</x:v>
      </x:c>
      <x:c r="F14" s="44" t="str">
        <x:v>Ready + Low</x:v>
      </x:c>
    </x:row>
    <x:row r="15" ht="25" customHeight="1">
      <x:c r="A15" t="str">
        <x:v>Bearings &amp; Power Transmission</x:v>
      </x:c>
      <x:c r="B15" t="n">
        <x:f>COUNTIF('CLEANED RECORDS'!$D$6:$D$138,A15)</x:f>
        <x:v>13</x:v>
      </x:c>
      <x:c r="C15" t="n">
        <x:f>COUNTIFS('CLEANED RECORDS'!$D$6:$D$138,A15,'CLEANED RECORDS'!$N$6:$N$138,"READY")</x:f>
        <x:v>9</x:v>
      </x:c>
      <x:c r="D15" t="n">
        <x:f>COUNTIFS('CLEANED RECORDS'!$D$6:$D$138,A15,'CLEANED RECORDS'!$N$6:$N$138,"REVIEW")</x:f>
        <x:v>4</x:v>
      </x:c>
      <x:c r="E15" s="82" t="n">
        <x:f>SUMIFS('CLEANED RECORDS'!$O$6:$O$138,'CLEANED RECORDS'!$D$6:$D$138,A15,'CLEANED RECORDS'!$N$6:$N$138,"READY")</x:f>
        <x:v>68042.41</x:v>
      </x:c>
      <x:c r="F15" t="n">
        <x:f>COUNTIFS('CLEANED RECORDS'!$D$6:$D$138,A15,'CLEANED RECORDS'!$P$6:$P$138,"LOW")</x:f>
        <x:v>1</x:v>
      </x:c>
    </x:row>
    <x:row r="16" ht="25" customHeight="1">
      <x:c r="A16" t="str">
        <x:v>Conveyor Systems</x:v>
      </x:c>
      <x:c r="B16" t="n">
        <x:f>COUNTIF('CLEANED RECORDS'!$D$6:$D$138,A16)</x:f>
        <x:v>14</x:v>
      </x:c>
      <x:c r="C16" t="n">
        <x:f>COUNTIFS('CLEANED RECORDS'!$D$6:$D$138,A16,'CLEANED RECORDS'!$N$6:$N$138,"READY")</x:f>
        <x:v>7</x:v>
      </x:c>
      <x:c r="D16" t="n">
        <x:f>COUNTIFS('CLEANED RECORDS'!$D$6:$D$138,A16,'CLEANED RECORDS'!$N$6:$N$138,"REVIEW")</x:f>
        <x:v>7</x:v>
      </x:c>
      <x:c r="E16" s="82" t="n">
        <x:f>SUMIFS('CLEANED RECORDS'!$O$6:$O$138,'CLEANED RECORDS'!$D$6:$D$138,A16,'CLEANED RECORDS'!$N$6:$N$138,"READY")</x:f>
        <x:v>56751.64</x:v>
      </x:c>
      <x:c r="F16" t="n">
        <x:f>COUNTIFS('CLEANED RECORDS'!$D$6:$D$138,A16,'CLEANED RECORDS'!$P$6:$P$138,"LOW")</x:f>
        <x:v>1</x:v>
      </x:c>
    </x:row>
    <x:row r="17" ht="25" customHeight="1">
      <x:c r="A17" t="str">
        <x:v>Hydraulics</x:v>
      </x:c>
      <x:c r="B17" t="n">
        <x:f>COUNTIF('CLEANED RECORDS'!$D$6:$D$138,A17)</x:f>
        <x:v>11</x:v>
      </x:c>
      <x:c r="C17" t="n">
        <x:f>COUNTIFS('CLEANED RECORDS'!$D$6:$D$138,A17,'CLEANED RECORDS'!$N$6:$N$138,"READY")</x:f>
        <x:v>8</x:v>
      </x:c>
      <x:c r="D17" t="n">
        <x:f>COUNTIFS('CLEANED RECORDS'!$D$6:$D$138,A17,'CLEANED RECORDS'!$N$6:$N$138,"REVIEW")</x:f>
        <x:v>3</x:v>
      </x:c>
      <x:c r="E17" s="82" t="n">
        <x:f>SUMIFS('CLEANED RECORDS'!$O$6:$O$138,'CLEANED RECORDS'!$D$6:$D$138,A17,'CLEANED RECORDS'!$N$6:$N$138,"READY")</x:f>
        <x:v>58480.93000000001</x:v>
      </x:c>
      <x:c r="F17" t="n">
        <x:f>COUNTIFS('CLEANED RECORDS'!$D$6:$D$138,A17,'CLEANED RECORDS'!$P$6:$P$138,"LOW")</x:f>
        <x:v>4</x:v>
      </x:c>
    </x:row>
    <x:row r="18" ht="25" customHeight="1">
      <x:c r="A18" t="str">
        <x:v>Electrical Controls</x:v>
      </x:c>
      <x:c r="B18" t="n">
        <x:f>COUNTIF('CLEANED RECORDS'!$D$6:$D$138,A18)</x:f>
        <x:v>14</x:v>
      </x:c>
      <x:c r="C18" t="n">
        <x:f>COUNTIFS('CLEANED RECORDS'!$D$6:$D$138,A18,'CLEANED RECORDS'!$N$6:$N$138,"READY")</x:f>
        <x:v>7</x:v>
      </x:c>
      <x:c r="D18" t="n">
        <x:f>COUNTIFS('CLEANED RECORDS'!$D$6:$D$138,A18,'CLEANED RECORDS'!$N$6:$N$138,"REVIEW")</x:f>
        <x:v>7</x:v>
      </x:c>
      <x:c r="E18" s="82" t="n">
        <x:f>SUMIFS('CLEANED RECORDS'!$O$6:$O$138,'CLEANED RECORDS'!$D$6:$D$138,A18,'CLEANED RECORDS'!$N$6:$N$138,"READY")</x:f>
        <x:v>44311.63</x:v>
      </x:c>
      <x:c r="F18" t="n">
        <x:f>COUNTIFS('CLEANED RECORDS'!$D$6:$D$138,A18,'CLEANED RECORDS'!$P$6:$P$138,"LOW")</x:f>
        <x:v>3</x:v>
      </x:c>
    </x:row>
    <x:row r="19" ht="25" customHeight="1">
      <x:c r="A19" t="str">
        <x:v>Motors &amp; Drives</x:v>
      </x:c>
      <x:c r="B19" t="n">
        <x:f>COUNTIF('CLEANED RECORDS'!$D$6:$D$138,A19)</x:f>
        <x:v>13</x:v>
      </x:c>
      <x:c r="C19" t="n">
        <x:f>COUNTIFS('CLEANED RECORDS'!$D$6:$D$138,A19,'CLEANED RECORDS'!$N$6:$N$138,"READY")</x:f>
        <x:v>9</x:v>
      </x:c>
      <x:c r="D19" t="n">
        <x:f>COUNTIFS('CLEANED RECORDS'!$D$6:$D$138,A19,'CLEANED RECORDS'!$N$6:$N$138,"REVIEW")</x:f>
        <x:v>4</x:v>
      </x:c>
      <x:c r="E19" s="82" t="n">
        <x:f>SUMIFS('CLEANED RECORDS'!$O$6:$O$138,'CLEANED RECORDS'!$D$6:$D$138,A19,'CLEANED RECORDS'!$N$6:$N$138,"READY")</x:f>
        <x:v>85408.5</x:v>
      </x:c>
      <x:c r="F19" t="n">
        <x:f>COUNTIFS('CLEANED RECORDS'!$D$6:$D$138,A19,'CLEANED RECORDS'!$P$6:$P$138,"LOW")</x:f>
        <x:v>0</x:v>
      </x:c>
    </x:row>
    <x:row r="20" ht="25" customHeight="1">
      <x:c r="A20" t="str">
        <x:v>Pneumatics</x:v>
      </x:c>
      <x:c r="B20" t="n">
        <x:f>COUNTIF('CLEANED RECORDS'!$D$6:$D$138,A20)</x:f>
        <x:v>14</x:v>
      </x:c>
      <x:c r="C20" t="n">
        <x:f>COUNTIFS('CLEANED RECORDS'!$D$6:$D$138,A20,'CLEANED RECORDS'!$N$6:$N$138,"READY")</x:f>
        <x:v>8</x:v>
      </x:c>
      <x:c r="D20" t="n">
        <x:f>COUNTIFS('CLEANED RECORDS'!$D$6:$D$138,A20,'CLEANED RECORDS'!$N$6:$N$138,"REVIEW")</x:f>
        <x:v>6</x:v>
      </x:c>
      <x:c r="E20" s="82" t="n">
        <x:f>SUMIFS('CLEANED RECORDS'!$O$6:$O$138,'CLEANED RECORDS'!$D$6:$D$138,A20,'CLEANED RECORDS'!$N$6:$N$138,"READY")</x:f>
        <x:v>76107.6</x:v>
      </x:c>
      <x:c r="F20" t="n">
        <x:f>COUNTIFS('CLEANED RECORDS'!$D$6:$D$138,A20,'CLEANED RECORDS'!$P$6:$P$138,"LOW")</x:f>
        <x:v>2</x:v>
      </x:c>
    </x:row>
    <x:row r="21" ht="25" customHeight="1">
      <x:c r="A21" t="str">
        <x:v>Fasteners &amp; Hardware</x:v>
      </x:c>
      <x:c r="B21" t="n">
        <x:f>COUNTIF('CLEANED RECORDS'!$D$6:$D$138,A21)</x:f>
        <x:v>13</x:v>
      </x:c>
      <x:c r="C21" t="n">
        <x:f>COUNTIFS('CLEANED RECORDS'!$D$6:$D$138,A21,'CLEANED RECORDS'!$N$6:$N$138,"READY")</x:f>
        <x:v>6</x:v>
      </x:c>
      <x:c r="D21" t="n">
        <x:f>COUNTIFS('CLEANED RECORDS'!$D$6:$D$138,A21,'CLEANED RECORDS'!$N$6:$N$138,"REVIEW")</x:f>
        <x:v>7</x:v>
      </x:c>
      <x:c r="E21" s="82" t="n">
        <x:f>SUMIFS('CLEANED RECORDS'!$O$6:$O$138,'CLEANED RECORDS'!$D$6:$D$138,A21,'CLEANED RECORDS'!$N$6:$N$138,"READY")</x:f>
        <x:v>40815.380000000005</x:v>
      </x:c>
      <x:c r="F21" t="n">
        <x:f>COUNTIFS('CLEANED RECORDS'!$D$6:$D$138,A21,'CLEANED RECORDS'!$P$6:$P$138,"LOW")</x:f>
        <x:v>4</x:v>
      </x:c>
    </x:row>
    <x:row r="22" ht="25" customHeight="1">
      <x:c r="A22" t="str">
        <x:v>Filters &amp; Fluids</x:v>
      </x:c>
      <x:c r="B22" t="n">
        <x:f>COUNTIF('CLEANED RECORDS'!$D$6:$D$138,A22)</x:f>
        <x:v>13</x:v>
      </x:c>
      <x:c r="C22" t="n">
        <x:f>COUNTIFS('CLEANED RECORDS'!$D$6:$D$138,A22,'CLEANED RECORDS'!$N$6:$N$138,"READY")</x:f>
        <x:v>9</x:v>
      </x:c>
      <x:c r="D22" t="n">
        <x:f>COUNTIFS('CLEANED RECORDS'!$D$6:$D$138,A22,'CLEANED RECORDS'!$N$6:$N$138,"REVIEW")</x:f>
        <x:v>4</x:v>
      </x:c>
      <x:c r="E22" s="82" t="n">
        <x:f>SUMIFS('CLEANED RECORDS'!$O$6:$O$138,'CLEANED RECORDS'!$D$6:$D$138,A22,'CLEANED RECORDS'!$N$6:$N$138,"READY")</x:f>
        <x:v>124032.2</x:v>
      </x:c>
      <x:c r="F22" t="n">
        <x:f>COUNTIFS('CLEANED RECORDS'!$D$6:$D$138,A22,'CLEANED RECORDS'!$P$6:$P$138,"LOW")</x:f>
        <x:v>0</x:v>
      </x:c>
    </x:row>
    <x:row r="23" ht="25" customHeight="1">
      <x:c r="A23" t="str">
        <x:v>Safety &amp; Maintenance</x:v>
      </x:c>
      <x:c r="B23" t="n">
        <x:f>COUNTIF('CLEANED RECORDS'!$D$6:$D$138,A23)</x:f>
        <x:v>14</x:v>
      </x:c>
      <x:c r="C23" t="n">
        <x:f>COUNTIFS('CLEANED RECORDS'!$D$6:$D$138,A23,'CLEANED RECORDS'!$N$6:$N$138,"READY")</x:f>
        <x:v>8</x:v>
      </x:c>
      <x:c r="D23" t="n">
        <x:f>COUNTIFS('CLEANED RECORDS'!$D$6:$D$138,A23,'CLEANED RECORDS'!$N$6:$N$138,"REVIEW")</x:f>
        <x:v>6</x:v>
      </x:c>
      <x:c r="E23" s="82" t="n">
        <x:f>SUMIFS('CLEANED RECORDS'!$O$6:$O$138,'CLEANED RECORDS'!$D$6:$D$138,A23,'CLEANED RECORDS'!$N$6:$N$138,"READY")</x:f>
        <x:v>49745.88</x:v>
      </x:c>
      <x:c r="F23" t="n">
        <x:f>COUNTIFS('CLEANED RECORDS'!$D$6:$D$138,A23,'CLEANED RECORDS'!$P$6:$P$138,"LOW")</x:f>
        <x:v>0</x:v>
      </x:c>
    </x:row>
    <x:row r="24" ht="25" customHeight="1">
      <x:c r="A24" t="str">
        <x:v>Sensors &amp; Instrumentation</x:v>
      </x:c>
      <x:c r="B24" t="n">
        <x:f>COUNTIF('CLEANED RECORDS'!$D$6:$D$138,A24)</x:f>
        <x:v>13</x:v>
      </x:c>
      <x:c r="C24" t="n">
        <x:f>COUNTIFS('CLEANED RECORDS'!$D$6:$D$138,A24,'CLEANED RECORDS'!$N$6:$N$138,"READY")</x:f>
        <x:v>7</x:v>
      </x:c>
      <x:c r="D24" t="n">
        <x:f>COUNTIFS('CLEANED RECORDS'!$D$6:$D$138,A24,'CLEANED RECORDS'!$N$6:$N$138,"REVIEW")</x:f>
        <x:v>6</x:v>
      </x:c>
      <x:c r="E24" s="82" t="n">
        <x:f>SUMIFS('CLEANED RECORDS'!$O$6:$O$138,'CLEANED RECORDS'!$D$6:$D$138,A24,'CLEANED RECORDS'!$N$6:$N$138,"READY")</x:f>
        <x:v>50588.93</x:v>
      </x:c>
      <x:c r="F24" t="n">
        <x:f>COUNTIFS('CLEANED RECORDS'!$D$6:$D$138,A24,'CLEANED RECORDS'!$P$6:$P$138,"LOW")</x:f>
        <x:v>2</x:v>
      </x:c>
    </x:row>
    <x:row r="25" ht="25" customHeight="1">
      <x:c r="A25" s="96" t="str">
        <x:v>Unknown / unresolved</x:v>
      </x:c>
      <x:c r="B25" s="96" t="n">
        <x:f>COUNTIF('CLEANED RECORDS'!$D$6:$D$138,"UNKNOWN CATEGORY")</x:f>
        <x:v>1</x:v>
      </x:c>
      <x:c r="C25" s="96" t="n">
        <x:f>COUNTIFS('CLEANED RECORDS'!$D$6:$D$138,"UNKNOWN CATEGORY",'CLEANED RECORDS'!$N$6:$N$138,"READY")</x:f>
        <x:v>0</x:v>
      </x:c>
      <x:c r="D25" s="96" t="n">
        <x:f>COUNTIFS('CLEANED RECORDS'!$D$6:$D$138,"UNKNOWN CATEGORY",'CLEANED RECORDS'!$N$6:$N$138,"REVIEW")</x:f>
        <x:v>1</x:v>
      </x:c>
      <x:c r="E25" s="97" t="n">
        <x:f>SUMIFS('CLEANED RECORDS'!$O$6:$O$138,'CLEANED RECORDS'!$D$6:$D$138,"UNKNOWN CATEGORY",'CLEANED RECORDS'!$N$6:$N$138,"READY")</x:f>
        <x:v>0</x:v>
      </x:c>
      <x:c r="F25" s="96" t="n">
        <x:f>COUNTIFS('CLEANED RECORDS'!$D$6:$D$138,"UNKNOWN CATEGORY",'CLEANED RECORDS'!$P$6:$P$138,"LOW")</x:f>
        <x:v>0</x:v>
      </x:c>
    </x:row>
    <x:row r="26" ht="30" customHeight="1">
      <x:c r="A26" s="84" t="str">
        <x:v>TOTAL</x:v>
      </x:c>
      <x:c r="B26" s="84" t="n">
        <x:f>SUM(B15:B25)</x:f>
        <x:v>133</x:v>
      </x:c>
      <x:c r="C26" s="84" t="n">
        <x:f>SUM(C15:C25)</x:f>
        <x:v>78</x:v>
      </x:c>
      <x:c r="D26" s="84" t="n">
        <x:f>SUM(D15:D25)</x:f>
        <x:v>55</x:v>
      </x:c>
      <x:c r="E26" s="86" t="n">
        <x:f>SUM(E15:E25)</x:f>
        <x:v>654285.1</x:v>
      </x:c>
      <x:c r="F26" s="84" t="n">
        <x:f>SUM(F15:F25)</x:f>
        <x:v>17</x:v>
      </x:c>
    </x:row>
    <x:row r="29" ht="29" customHeight="1">
      <x:c r="A29" s="32" t="str">
        <x:v>EXCEPTION REASONS — ITEMS REQUIRING HUMAN FOLLOW-UP</x:v>
      </x:c>
      <x:c r="B29" s="32"/>
      <x:c r="C29" s="32"/>
      <x:c r="D29" s="32"/>
      <x:c r="E29" s="32"/>
      <x:c r="F29" s="32"/>
    </x:row>
    <x:row r="30" ht="29" customHeight="1">
      <x:c r="A30" s="44" t="str">
        <x:v>Reason</x:v>
      </x:c>
      <x:c r="B30" s="44" t="str">
        <x:v>Issue count</x:v>
      </x:c>
      <x:c r="C30" s="44" t="str">
        <x:v>Risk level</x:v>
      </x:c>
      <x:c r="D30" t="str">
        <x:v>Internal code</x:v>
      </x:c>
      <x:c r="H30" s="32" t="str">
        <x:v>WHAT THE NUMBERS MEAN</x:v>
      </x:c>
      <x:c r="I30" s="32"/>
      <x:c r="J30" s="32"/>
      <x:c r="K30" s="32"/>
      <x:c r="L30" s="32"/>
      <x:c r="M30" s="32"/>
      <x:c r="N30" s="32"/>
      <x:c r="O30" s="32"/>
    </x:row>
    <x:row r="31" ht="24" customHeight="1">
      <x:c r="A31" t="str">
        <x:v>Duplicate SKU</x:v>
      </x:c>
      <x:c r="B31" t="n">
        <x:f>COUNTIF('REVIEW QUEUE'!$F$6:$F$60,D31)</x:f>
        <x:v>26</x:v>
      </x:c>
      <x:c r="C31" t="str">
        <x:v>HIGH</x:v>
      </x:c>
      <x:c r="D31" t="str">
        <x:v>DUPLICATE_SKU</x:v>
      </x:c>
    </x:row>
    <x:row r="32" ht="24" customHeight="1">
      <x:c r="A32" t="str">
        <x:v>Missing / text quantity</x:v>
      </x:c>
      <x:c r="B32" t="n">
        <x:f>COUNTIF('REVIEW QUEUE'!$F$6:$F$60,D32)</x:f>
        <x:v>7</x:v>
      </x:c>
      <x:c r="C32" t="str">
        <x:v>HIGH</x:v>
      </x:c>
      <x:c r="D32" t="str">
        <x:v>QTY_MISSING_OR_TEXT</x:v>
      </x:c>
      <x:c r="H32" s="90" t="str">
        <x:v>READY = no exception found under these rules. Still requires normal operational approval.</x:v>
      </x:c>
      <x:c r="I32" s="90"/>
      <x:c r="J32" s="90"/>
      <x:c r="K32" s="90"/>
      <x:c r="L32" s="90"/>
      <x:c r="M32" s="90"/>
      <x:c r="N32" s="90"/>
      <x:c r="O32" s="90"/>
    </x:row>
    <x:row r="33" ht="24" customHeight="1">
      <x:c r="A33" t="str">
        <x:v>Unrecognized part ID</x:v>
      </x:c>
      <x:c r="B33" t="n">
        <x:f>COUNTIF('REVIEW QUEUE'!$F$6:$F$60,D33)</x:f>
        <x:v>4</x:v>
      </x:c>
      <x:c r="C33" t="str">
        <x:v>HIGH</x:v>
      </x:c>
      <x:c r="D33" t="str">
        <x:v>SKU_UNRECOGNIZED</x:v>
      </x:c>
      <x:c r="H33" s="90"/>
      <x:c r="I33" s="90"/>
      <x:c r="J33" s="90"/>
      <x:c r="K33" s="90"/>
      <x:c r="L33" s="90"/>
      <x:c r="M33" s="90"/>
      <x:c r="N33" s="90"/>
      <x:c r="O33" s="90"/>
    </x:row>
    <x:row r="34" ht="24" customHeight="1">
      <x:c r="A34" t="str">
        <x:v>Missing / invalid cost</x:v>
      </x:c>
      <x:c r="B34" t="n">
        <x:f>COUNTIF('REVIEW QUEUE'!$F$6:$F$60,D34)</x:f>
        <x:v>4</x:v>
      </x:c>
      <x:c r="C34" t="str">
        <x:v>MEDIUM</x:v>
      </x:c>
      <x:c r="D34" t="str">
        <x:v>COST_MISSING_OR_TEXT</x:v>
      </x:c>
      <x:c r="H34" s="90"/>
      <x:c r="I34" s="90"/>
      <x:c r="J34" s="90"/>
      <x:c r="K34" s="90"/>
      <x:c r="L34" s="90"/>
      <x:c r="M34" s="90"/>
      <x:c r="N34" s="90"/>
      <x:c r="O34" s="90"/>
    </x:row>
    <x:row r="35" ht="24" customHeight="1">
      <x:c r="A35" t="str">
        <x:v>Missing location</x:v>
      </x:c>
      <x:c r="B35" t="n">
        <x:f>COUNTIF('REVIEW QUEUE'!$F$6:$F$60,D35)</x:f>
        <x:v>3</x:v>
      </x:c>
      <x:c r="C35" t="str">
        <x:v>MEDIUM</x:v>
      </x:c>
      <x:c r="D35" t="str">
        <x:v>LOCATION_MISSING</x:v>
      </x:c>
      <x:c r="H35" s="90" t="str">
        <x:v>REVIEW = missing, inconsistent, or duplicate candidate. Do not overwrite source data.</x:v>
      </x:c>
      <x:c r="I35" s="90"/>
      <x:c r="J35" s="90"/>
      <x:c r="K35" s="90"/>
      <x:c r="L35" s="90"/>
      <x:c r="M35" s="90"/>
      <x:c r="N35" s="90"/>
      <x:c r="O35" s="90"/>
    </x:row>
    <x:row r="36" ht="24" customHeight="1">
      <x:c r="A36" t="str">
        <x:v>Invalid reorder minimum</x:v>
      </x:c>
      <x:c r="B36" t="n">
        <x:f>COUNTIF('REVIEW QUEUE'!$F$6:$F$60,D36)</x:f>
        <x:v>3</x:v>
      </x:c>
      <x:c r="C36" t="str">
        <x:v>MEDIUM</x:v>
      </x:c>
      <x:c r="D36" t="str">
        <x:v>REORDER_INVALID</x:v>
      </x:c>
      <x:c r="H36" s="90"/>
      <x:c r="I36" s="90"/>
      <x:c r="J36" s="90"/>
      <x:c r="K36" s="90"/>
      <x:c r="L36" s="90"/>
      <x:c r="M36" s="90"/>
      <x:c r="N36" s="90"/>
      <x:c r="O36" s="90"/>
    </x:row>
    <x:row r="37" ht="24" customHeight="1">
      <x:c r="A37" t="str">
        <x:v>Negative stock quantity</x:v>
      </x:c>
      <x:c r="B37" t="n">
        <x:f>COUNTIF('REVIEW QUEUE'!$F$6:$F$60,D37)</x:f>
        <x:v>2</x:v>
      </x:c>
      <x:c r="C37" t="str">
        <x:v>HIGH</x:v>
      </x:c>
      <x:c r="D37" t="str">
        <x:v>NEGATIVE_QUANTITY</x:v>
      </x:c>
      <x:c r="H37" s="90"/>
      <x:c r="I37" s="90"/>
      <x:c r="J37" s="90"/>
      <x:c r="K37" s="90"/>
      <x:c r="L37" s="90"/>
      <x:c r="M37" s="90"/>
      <x:c r="N37" s="90"/>
      <x:c r="O37" s="90"/>
    </x:row>
    <x:row r="38" ht="24" customHeight="1">
      <x:c r="A38" t="str">
        <x:v>Invalid bin</x:v>
      </x:c>
      <x:c r="B38" t="n">
        <x:f>COUNTIF('REVIEW QUEUE'!$F$6:$F$60,D38)</x:f>
        <x:v>2</x:v>
      </x:c>
      <x:c r="C38" t="str">
        <x:v>MEDIUM</x:v>
      </x:c>
      <x:c r="D38" t="str">
        <x:v>LOCATION_INVALID</x:v>
      </x:c>
      <x:c r="H38" s="90" t="str">
        <x:v>Field changes count safe formatting / controlled vocabulary updates—not stock movements.</x:v>
      </x:c>
      <x:c r="I38" s="90"/>
      <x:c r="J38" s="90"/>
      <x:c r="K38" s="90"/>
      <x:c r="L38" s="90"/>
      <x:c r="M38" s="90"/>
      <x:c r="N38" s="90"/>
      <x:c r="O38" s="90"/>
    </x:row>
    <x:row r="39" ht="24" customHeight="1">
      <x:c r="A39" t="str">
        <x:v>Unmapped unit</x:v>
      </x:c>
      <x:c r="B39" t="n">
        <x:f>COUNTIF('REVIEW QUEUE'!$F$6:$F$60,D39)</x:f>
        <x:v>2</x:v>
      </x:c>
      <x:c r="C39" t="str">
        <x:v>HIGH</x:v>
      </x:c>
      <x:c r="D39" t="str">
        <x:v>UNIT_UNMAPPED</x:v>
      </x:c>
      <x:c r="H39" s="90"/>
      <x:c r="I39" s="90"/>
      <x:c r="J39" s="90"/>
      <x:c r="K39" s="90"/>
      <x:c r="L39" s="90"/>
      <x:c r="M39" s="90"/>
      <x:c r="N39" s="90"/>
      <x:c r="O39" s="90"/>
    </x:row>
    <x:row r="40" ht="24" customHeight="1">
      <x:c r="A40" t="str">
        <x:v>Invalid count date</x:v>
      </x:c>
      <x:c r="B40" t="n">
        <x:f>COUNTIF('REVIEW QUEUE'!$F$6:$F$60,D40)</x:f>
        <x:v>0</x:v>
      </x:c>
      <x:c r="C40" t="str">
        <x:v>MEDIUM</x:v>
      </x:c>
      <x:c r="D40" t="str">
        <x:v>DATE_INVALID</x:v>
      </x:c>
      <x:c r="H40" s="90"/>
      <x:c r="I40" s="90"/>
      <x:c r="J40" s="90"/>
      <x:c r="K40" s="90"/>
      <x:c r="L40" s="90"/>
      <x:c r="M40" s="90"/>
      <x:c r="N40" s="90"/>
      <x:c r="O40" s="90"/>
    </x:row>
    <x:row r="41" ht="24" customHeight="1">
      <x:c r="A41" t="str">
        <x:v>Unknown category</x:v>
      </x:c>
      <x:c r="B41" t="n">
        <x:f>COUNTIF('REVIEW QUEUE'!$F$6:$F$60,D41)</x:f>
        <x:v>1</x:v>
      </x:c>
      <x:c r="C41" t="str">
        <x:v>MEDIUM</x:v>
      </x:c>
      <x:c r="D41" t="str">
        <x:v>CATEGORY_UNKNOWN</x:v>
      </x:c>
      <x:c r="H41" s="90" t="str">
        <x:v>Real client engagement: confirm scope, protect data, have an owner approve disputed records.</x:v>
      </x:c>
      <x:c r="I41" s="90"/>
      <x:c r="J41" s="90"/>
      <x:c r="K41" s="90"/>
      <x:c r="L41" s="90"/>
      <x:c r="M41" s="90"/>
      <x:c r="N41" s="90"/>
      <x:c r="O41" s="90"/>
    </x:row>
    <x:row r="42" ht="24" customHeight="1">
      <x:c r="A42" t="str">
        <x:v>Unknown supplier</x:v>
      </x:c>
      <x:c r="B42" t="n">
        <x:f>COUNTIF('REVIEW QUEUE'!$F$6:$F$60,D42)</x:f>
        <x:v>1</x:v>
      </x:c>
      <x:c r="C42" t="str">
        <x:v>LOW</x:v>
      </x:c>
      <x:c r="D42" t="str">
        <x:v>SUPPLIER_UNRECOGNIZED</x:v>
      </x:c>
      <x:c r="H42" s="90"/>
      <x:c r="I42" s="90"/>
      <x:c r="J42" s="90"/>
      <x:c r="K42" s="90"/>
      <x:c r="L42" s="90"/>
      <x:c r="M42" s="90"/>
      <x:c r="N42" s="90"/>
      <x:c r="O42" s="90"/>
    </x:row>
    <x:row r="43" ht="28" customHeight="1">
      <x:c r="A43" s="84" t="str">
        <x:v>TOTAL</x:v>
      </x:c>
      <x:c r="B43" s="84" t="n">
        <x:f>SUM(B31:B42)</x:f>
        <x:v>55</x:v>
      </x:c>
      <x:c r="C43" s="84"/>
      <x:c r="D43" s="84"/>
      <x:c r="H43" s="90"/>
      <x:c r="I43" s="90"/>
      <x:c r="J43" s="90"/>
      <x:c r="K43" s="90"/>
      <x:c r="L43" s="90"/>
      <x:c r="M43" s="90"/>
      <x:c r="N43" s="90"/>
      <x:c r="O43" s="90"/>
    </x:row>
  </x:sheetData>
  <x:mergeCells>
    <x:mergeCell ref="A1:O2"/>
    <x:mergeCell ref="A3:O3"/>
    <x:mergeCell ref="A5:C5"/>
    <x:mergeCell ref="A6:C8"/>
    <x:mergeCell ref="D5:F5"/>
    <x:mergeCell ref="D6:F8"/>
    <x:mergeCell ref="G5:I5"/>
    <x:mergeCell ref="G6:I8"/>
    <x:mergeCell ref="J5:L5"/>
    <x:mergeCell ref="J6:L8"/>
    <x:mergeCell ref="A10:L11"/>
    <x:mergeCell ref="A13:F13"/>
    <x:mergeCell ref="A29:F29"/>
    <x:mergeCell ref="H30:O30"/>
    <x:mergeCell ref="H32:O34"/>
    <x:mergeCell ref="H35:O37"/>
    <x:mergeCell ref="H38:O40"/>
    <x:mergeCell ref="H41:O43"/>
  </x:mergeCells>
  <x:conditionalFormatting sqref="B31:B42">
    <x:cfRule type="dataBar" priority="1">
      <x:dataBar>
        <x:cfvo type="min"/>
        <x:cfvo type="max"/>
        <x:color rgb="FF06B6D4"/>
      </x:dataBar>
      <x:extLst>
        <x:ext xmlns:x14="http://schemas.microsoft.com/office/spreadsheetml/2009/9/main" uri="{B025F937-C7B1-47D3-B67F-A62EFF666E3E}">
          <x14:id>{73AC565A-CD0F-A125-1140-E257223D1650}</x14:id>
        </x:ext>
      </x:extLst>
    </x:cfRule>
  </x:conditionalFormatting>
  <x:conditionalFormatting sqref="C31:C42">
    <x:cfRule type="expression" dxfId="7" priority="2">
      <x:formula>C31="HIGH"</x:formula>
    </x:cfRule>
  </x:conditionalFormatting>
  <x:pageMargins left="0.7" right="0.7" top="0.75" bottom="0.75" header="0.3" footer="0.3"/>
  <x:drawing xmlns:r="http://schemas.openxmlformats.org/officeDocument/2006/relationships" r:id="Rd427ae18aa0f48c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AC565A-CD0F-A125-1140-E257223D1650}">
            <x14:dataBar gradient="1">
              <x14:cfvo type="min"/>
              <x14:cfvo type="max"/>
              <x14:fillColor rgb="FF06B6D4"/>
            </x14:dataBar>
          </x14:cfRule>
          <xm:sqref>B31:B42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37" hidden="0" customWidth="1"/>
    <x:col min="4" max="4" width="28" hidden="0" customWidth="1"/>
    <x:col min="5" max="5" width="18" hidden="0" customWidth="1"/>
    <x:col min="6" max="6" width="12" hidden="0" customWidth="1"/>
    <x:col min="7" max="7" width="15" hidden="0" customWidth="1"/>
    <x:col min="8" max="8" width="16" hidden="0" customWidth="1"/>
    <x:col min="9" max="9" width="18" hidden="0" customWidth="1"/>
    <x:col min="10" max="10" width="23" hidden="0" customWidth="1"/>
    <x:col min="11" max="11" width="17" hidden="0" customWidth="1"/>
    <x:col min="12" max="12" width="45" hidden="0" customWidth="1"/>
  </x:cols>
  <x:sheetData>
    <x:row r="1" ht="25" customHeight="1">
      <x:c r="A1" s="4" t="str">
        <x:v>RAW INTAKE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3" customHeight="1">
      <x:c r="A3" s="10" t="str">
        <x:v>Read-only reproduction of fictional incoming export  •  preserve originals for audit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35" customHeight="1">
      <x:c r="A5" s="44" t="str">
        <x:v>Source Record</x:v>
      </x:c>
      <x:c r="B5" s="44" t="str">
        <x:v>Part ID</x:v>
      </x:c>
      <x:c r="C5" s="44" t="str">
        <x:v>Part Description</x:v>
      </x:c>
      <x:c r="D5" s="44" t="str">
        <x:v>Category</x:v>
      </x:c>
      <x:c r="E5" s="44" t="str">
        <x:v>Storage Bin</x:v>
      </x:c>
      <x:c r="F5" s="44" t="str">
        <x:v>Unit</x:v>
      </x:c>
      <x:c r="G5" s="44" t="str">
        <x:v>On Hand</x:v>
      </x:c>
      <x:c r="H5" s="44" t="str">
        <x:v>Reorder Point</x:v>
      </x:c>
      <x:c r="I5" s="44" t="str">
        <x:v>Unit Cost USD</x:v>
      </x:c>
      <x:c r="J5" s="44" t="str">
        <x:v>Supplier</x:v>
      </x:c>
      <x:c r="K5" s="44" t="str">
        <x:v>Last Counted</x:v>
      </x:c>
      <x:c r="L5" s="44" t="str">
        <x:v>Source Note</x:v>
      </x:c>
    </x:row>
    <x:row r="6" ht="22" customHeight="1">
      <x:c r="A6" s="50" t="str">
        <x:v>IN-0001</x:v>
      </x:c>
      <x:c r="B6" s="50" t="str">
        <x:v>SP1101</x:v>
      </x:c>
      <x:c r="C6" s="50" t="str">
        <x:v>Pillow Block Bearing - Heavy Duty</x:v>
      </x:c>
      <x:c r="D6" s="50" t="str">
        <x:v>Pwr Trans</x:v>
      </x:c>
      <x:c r="E6" s="50" t="str">
        <x:v>WH-D-01-01</x:v>
      </x:c>
      <x:c r="F6" s="50" t="str">
        <x:v>pair</x:v>
      </x:c>
      <x:c r="G6" s="54" t="n">
        <x:v>29</x:v>
      </x:c>
      <x:c r="H6" s="54" t="n">
        <x:v>19</x:v>
      </x:c>
      <x:c r="I6" s="52" t="n">
        <x:v>268.41</x:v>
      </x:c>
      <x:c r="J6" s="50" t="str">
        <x:v>Meridian Industrial</x:v>
      </x:c>
      <x:c r="K6" s="50" t="str">
        <x:v>2026-07-22</x:v>
      </x:c>
      <x:c r="L6" s="50" t="str"/>
    </x:row>
    <x:row r="7" ht="22" customHeight="1">
      <x:c r="A7" s="50" t="str">
        <x:v>IN-0002</x:v>
      </x:c>
      <x:c r="B7" s="50" t="str">
        <x:v>SP-1102</x:v>
      </x:c>
      <x:c r="C7" s="50" t="str">
        <x:v>Deep Groove Bearing - Type B</x:v>
      </x:c>
      <x:c r="D7" s="50" t="str">
        <x:v>BEARINGS</x:v>
      </x:c>
      <x:c r="E7" s="50" t="str">
        <x:v>wh-c-02-03</x:v>
      </x:c>
      <x:c r="F7" s="50" t="str">
        <x:v>ea</x:v>
      </x:c>
      <x:c r="G7" s="54" t="n">
        <x:v>68</x:v>
      </x:c>
      <x:c r="H7" s="54" t="n">
        <x:v>18</x:v>
      </x:c>
      <x:c r="I7" s="52" t="n">
        <x:v>166.98</x:v>
      </x:c>
      <x:c r="J7" s="50" t="str">
        <x:v>MERIDIAN INDUSTRIAL</x:v>
      </x:c>
      <x:c r="K7" s="50" t="str">
        <x:v>2026-07-14</x:v>
      </x:c>
      <x:c r="L7" s="50" t="str"/>
    </x:row>
    <x:row r="8" ht="22" customHeight="1">
      <x:c r="A8" s="50" t="str">
        <x:v>IN-0003</x:v>
      </x:c>
      <x:c r="B8" s="50" t="str">
        <x:v>sp-1103</x:v>
      </x:c>
      <x:c r="C8" s="50" t="str">
        <x:v>Roller Chain - Series 2</x:v>
      </x:c>
      <x:c r="D8" s="50" t="str">
        <x:v>BEARINGS</x:v>
      </x:c>
      <x:c r="E8" s="50" t="str">
        <x:v>wh-a-01-02</x:v>
      </x:c>
      <x:c r="F8" s="50" t="str">
        <x:v>pcs</x:v>
      </x:c>
      <x:c r="G8" s="54" t="n">
        <x:v>59</x:v>
      </x:c>
      <x:c r="H8" s="54" t="n">
        <x:v>21</x:v>
      </x:c>
      <x:c r="I8" s="52" t="n">
        <x:v>73.64</x:v>
      </x:c>
      <x:c r="J8" s="50" t="str">
        <x:v>NORTH FORGE PARTS</x:v>
      </x:c>
      <x:c r="K8" s="50" t="str">
        <x:v>2026-08-30</x:v>
      </x:c>
      <x:c r="L8" s="50" t="str"/>
    </x:row>
    <x:row r="9" ht="22" customHeight="1">
      <x:c r="A9" s="50" t="str">
        <x:v>IN-0004</x:v>
      </x:c>
      <x:c r="B9" s="50" t="str">
        <x:v>SP-1104</x:v>
      </x:c>
      <x:c r="C9" s="50" t="str">
        <x:v>V-Belt - Heavy Duty</x:v>
      </x:c>
      <x:c r="D9" s="50" t="str">
        <x:v>BEARINGS</x:v>
      </x:c>
      <x:c r="E9" s="50" t="str">
        <x:v>C1-01</x:v>
      </x:c>
      <x:c r="F9" s="50" t="str">
        <x:v>PAIR</x:v>
      </x:c>
      <x:c r="G9" s="54" t="n">
        <x:v>59</x:v>
      </x:c>
      <x:c r="H9" s="54" t="n">
        <x:v>4</x:v>
      </x:c>
      <x:c r="I9" s="52" t="n">
        <x:v>116.55</x:v>
      </x:c>
      <x:c r="J9" s="50" t="str">
        <x:v>MERIDIAN INDUSTRIAL</x:v>
      </x:c>
      <x:c r="K9" s="50" t="str">
        <x:v>2026-07-18</x:v>
      </x:c>
      <x:c r="L9" s="50" t="str"/>
    </x:row>
    <x:row r="10" ht="22" customHeight="1">
      <x:c r="A10" s="50" t="str">
        <x:v>IN-0005</x:v>
      </x:c>
      <x:c r="B10" s="50" t="str">
        <x:v>SP-1105</x:v>
      </x:c>
      <x:c r="C10" s="50" t="str">
        <x:v>Drive Pulley - Heavy Duty</x:v>
      </x:c>
      <x:c r="D10" s="50" t="str">
        <x:v>Pwr Trans</x:v>
      </x:c>
      <x:c r="E10" s="50" t="str">
        <x:v>WH-D-04-03</x:v>
      </x:c>
      <x:c r="F10" s="50" t="str">
        <x:v>BOX</x:v>
      </x:c>
      <x:c r="G10" s="54" t="n">
        <x:v>77</x:v>
      </x:c>
      <x:c r="H10" s="54" t="n">
        <x:v>7</x:v>
      </x:c>
      <x:c r="I10" s="52" t="n">
        <x:v>362.55</x:v>
      </x:c>
      <x:c r="J10" s="50" t="str">
        <x:v>CANYON EQUIPMENT</x:v>
      </x:c>
      <x:c r="K10" s="50" t="str">
        <x:v>2026-09-16</x:v>
      </x:c>
      <x:c r="L10" s="50" t="str"/>
    </x:row>
    <x:row r="11" ht="22" customHeight="1">
      <x:c r="A11" s="50" t="str">
        <x:v>IN-0006</x:v>
      </x:c>
      <x:c r="B11" s="50" t="str">
        <x:v>SP1106</x:v>
      </x:c>
      <x:c r="C11" s="50" t="str">
        <x:v>Shaft Coupling - Standard</x:v>
      </x:c>
      <x:c r="D11" s="50" t="str">
        <x:v>Pwr Trans</x:v>
      </x:c>
      <x:c r="E11" s="50" t="str">
        <x:v>WH-C-03-01</x:v>
      </x:c>
      <x:c r="F11" s="50" t="str">
        <x:v>EA</x:v>
      </x:c>
      <x:c r="G11" s="54" t="n">
        <x:v>38</x:v>
      </x:c>
      <x:c r="H11" s="54" t="n">
        <x:v>15</x:v>
      </x:c>
      <x:c r="I11" s="52" t="n">
        <x:v>128.69</x:v>
      </x:c>
      <x:c r="J11" s="50" t="str">
        <x:v>Meridian Industrial</x:v>
      </x:c>
      <x:c r="K11" s="50" t="str">
        <x:v>2026-07-12</x:v>
      </x:c>
      <x:c r="L11" s="50" t="str"/>
    </x:row>
    <x:row r="12" ht="22" customHeight="1">
      <x:c r="A12" s="50" t="str">
        <x:v>IN-0007</x:v>
      </x:c>
      <x:c r="B12" s="50" t="str">
        <x:v>SP1107</x:v>
      </x:c>
      <x:c r="C12" s="50" t="str">
        <x:v>Chain Tensioner - Metric</x:v>
      </x:c>
      <x:c r="D12" s="50" t="str">
        <x:v>BEARINGS</x:v>
      </x:c>
      <x:c r="E12" s="50" t="str">
        <x:v>wh-c-03-04</x:v>
      </x:c>
      <x:c r="F12" s="50" t="str">
        <x:v>FT</x:v>
      </x:c>
      <x:c r="G12" s="54" t="str"/>
      <x:c r="H12" s="54" t="n">
        <x:v>15</x:v>
      </x:c>
      <x:c r="I12" s="52" t="n">
        <x:v>387.34</x:v>
      </x:c>
      <x:c r="J12" s="50" t="str">
        <x:v>NORTH FORGE PARTS</x:v>
      </x:c>
      <x:c r="K12" s="50" t="str">
        <x:v>2026-08-24</x:v>
      </x:c>
      <x:c r="L12" s="50" t="str"/>
    </x:row>
    <x:row r="13" ht="22" customHeight="1">
      <x:c r="A13" s="50" t="str">
        <x:v>IN-0008</x:v>
      </x:c>
      <x:c r="B13" s="50" t="str">
        <x:v>SP-1108</x:v>
      </x:c>
      <x:c r="C13" s="50" t="str">
        <x:v> taper lock bushing  -  standard </x:v>
      </x:c>
      <x:c r="D13" s="50" t="str">
        <x:v>BEARINGS</x:v>
      </x:c>
      <x:c r="E13" s="50" t="str">
        <x:v>WH-B-02-04</x:v>
      </x:c>
      <x:c r="F13" s="50" t="str">
        <x:v>ea</x:v>
      </x:c>
      <x:c r="G13" s="54" t="n">
        <x:v>90</x:v>
      </x:c>
      <x:c r="H13" s="54" t="n">
        <x:v>13</x:v>
      </x:c>
      <x:c r="I13" s="52" t="n">
        <x:v>140.44</x:v>
      </x:c>
      <x:c r="J13" s="50" t="str">
        <x:v>MERIDIAN INDUSTRIAL</x:v>
      </x:c>
      <x:c r="K13" s="50" t="str">
        <x:v>2026-09-08</x:v>
      </x:c>
      <x:c r="L13" s="50" t="str"/>
    </x:row>
    <x:row r="14" ht="22" customHeight="1">
      <x:c r="A14" s="50" t="str">
        <x:v>IN-0009</x:v>
      </x:c>
      <x:c r="B14" s="50" t="str">
        <x:v>SP-1109</x:v>
      </x:c>
      <x:c r="C14" s="50" t="str">
        <x:v>Idler Sprocket - Series 2</x:v>
      </x:c>
      <x:c r="D14" s="50" t="str">
        <x:v>Pwr Trans</x:v>
      </x:c>
      <x:c r="E14" s="50" t="str">
        <x:v>WH-B-04-04</x:v>
      </x:c>
      <x:c r="F14" s="50" t="str">
        <x:v>BOX</x:v>
      </x:c>
      <x:c r="G14" s="54" t="n">
        <x:v>67</x:v>
      </x:c>
      <x:c r="H14" s="54" t="n">
        <x:v>5</x:v>
      </x:c>
      <x:c r="I14" s="52" t="n">
        <x:v>234.71</x:v>
      </x:c>
      <x:c r="J14" s="50" t="str">
        <x:v>Meridian Ind.</x:v>
      </x:c>
      <x:c r="K14" s="50" t="str">
        <x:v>2026-09-23</x:v>
      </x:c>
      <x:c r="L14" s="50" t="str"/>
    </x:row>
    <x:row r="15" ht="22" customHeight="1">
      <x:c r="A15" s="50" t="str">
        <x:v>IN-0010</x:v>
      </x:c>
      <x:c r="B15" s="50" t="str">
        <x:v>SP-1110</x:v>
      </x:c>
      <x:c r="C15" s="50" t="str">
        <x:v>Flange Bearing - Metric</x:v>
      </x:c>
      <x:c r="D15" s="50" t="str">
        <x:v>BEARINGS</x:v>
      </x:c>
      <x:c r="E15" s="50" t="str">
        <x:v>WH-D-01-02</x:v>
      </x:c>
      <x:c r="F15" s="50" t="str">
        <x:v>EA</x:v>
      </x:c>
      <x:c r="G15" s="54" t="n">
        <x:v>13</x:v>
      </x:c>
      <x:c r="H15" s="54" t="n">
        <x:v>22</x:v>
      </x:c>
      <x:c r="I15" s="52" t="n">
        <x:v>262.89</x:v>
      </x:c>
      <x:c r="J15" s="50" t="str">
        <x:v>Meridian Ind.</x:v>
      </x:c>
      <x:c r="K15" s="50" t="str">
        <x:v>2026-08-24</x:v>
      </x:c>
      <x:c r="L15" s="50" t="str"/>
    </x:row>
    <x:row r="16" ht="22" customHeight="1">
      <x:c r="A16" s="50" t="str">
        <x:v>IN-0011</x:v>
      </x:c>
      <x:c r="B16" s="50" t="str">
        <x:v>SP-1111</x:v>
      </x:c>
      <x:c r="C16" s="50" t="str">
        <x:v>Motor Key Stock - Heavy Duty</x:v>
      </x:c>
      <x:c r="D16" s="50" t="str">
        <x:v>Bearings &amp; Power Transmission</x:v>
      </x:c>
      <x:c r="E16" s="50" t="str">
        <x:v>wh-d-02-02</x:v>
      </x:c>
      <x:c r="F16" s="50" t="str">
        <x:v>BOX</x:v>
      </x:c>
      <x:c r="G16" s="54" t="n">
        <x:v>39</x:v>
      </x:c>
      <x:c r="H16" s="54" t="n">
        <x:v>4</x:v>
      </x:c>
      <x:c r="I16" s="52" t="n">
        <x:v>25.89</x:v>
      </x:c>
      <x:c r="J16" s="50" t="str">
        <x:v>Meridian Ind.</x:v>
      </x:c>
      <x:c r="K16" s="50" t="str">
        <x:v>2026-07-24</x:v>
      </x:c>
      <x:c r="L16" s="50" t="str"/>
    </x:row>
    <x:row r="17" ht="22" customHeight="1">
      <x:c r="A17" s="50" t="str">
        <x:v>IN-0012</x:v>
      </x:c>
      <x:c r="B17" s="50" t="str">
        <x:v>SP-??</x:v>
      </x:c>
      <x:c r="C17" s="50" t="str">
        <x:v>Drive Sheave - Standard</x:v>
      </x:c>
      <x:c r="D17" s="50" t="str">
        <x:v>Pwr Trans</x:v>
      </x:c>
      <x:c r="E17" s="50" t="str">
        <x:v>B2-05</x:v>
      </x:c>
      <x:c r="F17" s="50" t="str">
        <x:v>each</x:v>
      </x:c>
      <x:c r="G17" s="54" t="n">
        <x:v>37</x:v>
      </x:c>
      <x:c r="H17" s="54" t="n">
        <x:v>16</x:v>
      </x:c>
      <x:c r="I17" s="52" t="n">
        <x:v>37.91</x:v>
      </x:c>
      <x:c r="J17" s="50" t="str">
        <x:v>CANYON EQUIPMENT</x:v>
      </x:c>
      <x:c r="K17" s="50" t="str">
        <x:v>2026-07-08</x:v>
      </x:c>
      <x:c r="L17" s="50" t="str"/>
    </x:row>
    <x:row r="18" ht="22" customHeight="1">
      <x:c r="A18" s="50" t="str">
        <x:v>IN-0013</x:v>
      </x:c>
      <x:c r="B18" s="50" t="str">
        <x:v>SP-1113</x:v>
      </x:c>
      <x:c r="C18" s="50" t="str">
        <x:v>Return Idler Roller - Type B</x:v>
      </x:c>
      <x:c r="D18" s="50" t="str">
        <x:v>CONVEYOR</x:v>
      </x:c>
      <x:c r="E18" s="50" t="str">
        <x:v>WH-B-03-05</x:v>
      </x:c>
      <x:c r="F18" s="50" t="str">
        <x:v>pcs</x:v>
      </x:c>
      <x:c r="G18" s="54" t="n">
        <x:v>44</x:v>
      </x:c>
      <x:c r="H18" s="54" t="n">
        <x:v>11</x:v>
      </x:c>
      <x:c r="I18" s="52" t="n">
        <x:v>329.84</x:v>
      </x:c>
      <x:c r="J18" s="50" t="str">
        <x:v>Meridian Ind.</x:v>
      </x:c>
      <x:c r="K18" s="50" t="str">
        <x:v>08/31/2026</x:v>
      </x:c>
      <x:c r="L18" s="50" t="str"/>
    </x:row>
    <x:row r="19" ht="22" customHeight="1">
      <x:c r="A19" s="50" t="str">
        <x:v>IN-0014</x:v>
      </x:c>
      <x:c r="B19" s="50" t="str">
        <x:v>sp-1114</x:v>
      </x:c>
      <x:c r="C19" s="50" t="str">
        <x:v>Impact Roller - Series 2</x:v>
      </x:c>
      <x:c r="D19" s="50" t="str">
        <x:v>Conveyors</x:v>
      </x:c>
      <x:c r="E19" s="50" t="str">
        <x:v>C2-03</x:v>
      </x:c>
      <x:c r="F19" s="50" t="str">
        <x:v>ea</x:v>
      </x:c>
      <x:c r="G19" s="54" t="n">
        <x:v>11</x:v>
      </x:c>
      <x:c r="H19" s="54" t="n">
        <x:v>4</x:v>
      </x:c>
      <x:c r="I19" s="52" t="n">
        <x:v>250.6</x:v>
      </x:c>
      <x:c r="J19" s="50" t="str">
        <x:v>Canyon Equip.</x:v>
      </x:c>
      <x:c r="K19" s="50" t="str">
        <x:v>2026-09-04</x:v>
      </x:c>
      <x:c r="L19" s="50" t="str"/>
    </x:row>
    <x:row r="20" ht="22" customHeight="1">
      <x:c r="A20" s="50" t="str">
        <x:v>IN-0015</x:v>
      </x:c>
      <x:c r="B20" s="50" t="str">
        <x:v>SP 1115</x:v>
      </x:c>
      <x:c r="C20" s="50" t="str">
        <x:v>Belt Scraper Blade - Series 2</x:v>
      </x:c>
      <x:c r="D20" s="50" t="str">
        <x:v>Conveyors</x:v>
      </x:c>
      <x:c r="E20" s="50" t="str">
        <x:v>A4-04</x:v>
      </x:c>
      <x:c r="F20" s="50" t="str">
        <x:v>ea</x:v>
      </x:c>
      <x:c r="G20" s="54" t="str">
        <x:v>TBD</x:v>
      </x:c>
      <x:c r="H20" s="54" t="n">
        <x:v>10</x:v>
      </x:c>
      <x:c r="I20" s="52" t="n">
        <x:v>106.05</x:v>
      </x:c>
      <x:c r="J20" s="50" t="str">
        <x:v>CANYON EQUIPMENT</x:v>
      </x:c>
      <x:c r="K20" s="50" t="str">
        <x:v>2026-09-20</x:v>
      </x:c>
      <x:c r="L20" s="50" t="str"/>
    </x:row>
    <x:row r="21" ht="22" customHeight="1">
      <x:c r="A21" s="50" t="str">
        <x:v>IN-0016</x:v>
      </x:c>
      <x:c r="B21" s="50" t="str">
        <x:v>SP-1116</x:v>
      </x:c>
      <x:c r="C21" s="50" t="str">
        <x:v> conveyor belt clip  -  standard </x:v>
      </x:c>
      <x:c r="D21" s="50" t="str">
        <x:v>Conveyors</x:v>
      </x:c>
      <x:c r="E21" s="50" t="str">
        <x:v>WH-D-04-05</x:v>
      </x:c>
      <x:c r="F21" s="50" t="str">
        <x:v>ea</x:v>
      </x:c>
      <x:c r="G21" s="54" t="n">
        <x:v>2</x:v>
      </x:c>
      <x:c r="H21" s="54" t="n">
        <x:v>9</x:v>
      </x:c>
      <x:c r="I21" s="52" t="n">
        <x:v>262.92</x:v>
      </x:c>
      <x:c r="J21" s="50" t="str">
        <x:v>Redgate Supply</x:v>
      </x:c>
      <x:c r="K21" s="50" t="str">
        <x:v>2026-07-29</x:v>
      </x:c>
      <x:c r="L21" s="50" t="str"/>
    </x:row>
    <x:row r="22" ht="22" customHeight="1">
      <x:c r="A22" s="50" t="str">
        <x:v>IN-0017</x:v>
      </x:c>
      <x:c r="B22" s="50" t="str">
        <x:v>SP-1117</x:v>
      </x:c>
      <x:c r="C22" s="50" t="str">
        <x:v>Belt Tracking Roller - Metric</x:v>
      </x:c>
      <x:c r="D22" s="50" t="str">
        <x:v>Conveyors</x:v>
      </x:c>
      <x:c r="E22" s="50" t="str">
        <x:v>wh-a-02-05</x:v>
      </x:c>
      <x:c r="F22" s="50" t="str">
        <x:v>PAIR</x:v>
      </x:c>
      <x:c r="G22" s="54" t="n">
        <x:v>47</x:v>
      </x:c>
      <x:c r="H22" s="54" t="n">
        <x:v>8</x:v>
      </x:c>
      <x:c r="I22" s="52" t="n">
        <x:v>184.74</x:v>
      </x:c>
      <x:c r="J22" s="50" t="str">
        <x:v>N. Forge Parts</x:v>
      </x:c>
      <x:c r="K22" s="50" t="str">
        <x:v>2026-09-06</x:v>
      </x:c>
      <x:c r="L22" s="50" t="str"/>
    </x:row>
    <x:row r="23" ht="22" customHeight="1">
      <x:c r="A23" s="50" t="str">
        <x:v>IN-0018</x:v>
      </x:c>
      <x:c r="B23" s="50" t="str">
        <x:v>sp-1118</x:v>
      </x:c>
      <x:c r="C23" s="50" t="str">
        <x:v>Drive Drum Lining - Type B</x:v>
      </x:c>
      <x:c r="D23" s="50" t="str">
        <x:v>CONVEYOR</x:v>
      </x:c>
      <x:c r="E23" s="50" t="str"/>
      <x:c r="F23" s="50" t="str">
        <x:v>FT</x:v>
      </x:c>
      <x:c r="G23" s="54" t="n">
        <x:v>68</x:v>
      </x:c>
      <x:c r="H23" s="54" t="n">
        <x:v>14</x:v>
      </x:c>
      <x:c r="I23" s="52" t="n">
        <x:v>49.81</x:v>
      </x:c>
      <x:c r="J23" s="50" t="str">
        <x:v>CANYON EQUIPMENT</x:v>
      </x:c>
      <x:c r="K23" s="50" t="str">
        <x:v>2026-08-13</x:v>
      </x:c>
      <x:c r="L23" s="50" t="str"/>
    </x:row>
    <x:row r="24" ht="22" customHeight="1">
      <x:c r="A24" s="50" t="str">
        <x:v>IN-0019</x:v>
      </x:c>
      <x:c r="B24" s="50" t="str">
        <x:v>SP-1119</x:v>
      </x:c>
      <x:c r="C24" s="50" t="str">
        <x:v>Take-Up Spring - Standard</x:v>
      </x:c>
      <x:c r="D24" s="50" t="str">
        <x:v>CONVEYOR</x:v>
      </x:c>
      <x:c r="E24" s="50" t="str">
        <x:v>WH-B-03-05</x:v>
      </x:c>
      <x:c r="F24" s="50" t="str">
        <x:v>pcs</x:v>
      </x:c>
      <x:c r="G24" s="54" t="n">
        <x:v>49</x:v>
      </x:c>
      <x:c r="H24" s="54" t="n">
        <x:v>12</x:v>
      </x:c>
      <x:c r="I24" s="52" t="n">
        <x:v>208.9</x:v>
      </x:c>
      <x:c r="J24" s="50" t="str">
        <x:v>Meridian Industrial</x:v>
      </x:c>
      <x:c r="K24" s="50" t="str">
        <x:v>2026-08-12</x:v>
      </x:c>
      <x:c r="L24" s="50" t="str"/>
    </x:row>
    <x:row r="25" ht="22" customHeight="1">
      <x:c r="A25" s="50" t="str">
        <x:v>IN-0020</x:v>
      </x:c>
      <x:c r="B25" s="50" t="str">
        <x:v>sp-1120</x:v>
      </x:c>
      <x:c r="C25" s="50" t="str">
        <x:v>Skirt Rubber - Metric</x:v>
      </x:c>
      <x:c r="D25" s="50" t="str">
        <x:v>Conveyor Systems</x:v>
      </x:c>
      <x:c r="E25" s="50" t="str">
        <x:v>A2-05</x:v>
      </x:c>
      <x:c r="F25" s="50" t="str">
        <x:v>each</x:v>
      </x:c>
      <x:c r="G25" s="54" t="n">
        <x:v>64</x:v>
      </x:c>
      <x:c r="H25" s="54" t="n">
        <x:v>21</x:v>
      </x:c>
      <x:c r="I25" s="52" t="n">
        <x:v>239.8</x:v>
      </x:c>
      <x:c r="J25" s="50" t="str">
        <x:v>Meridian Industrial</x:v>
      </x:c>
      <x:c r="K25" s="50" t="str">
        <x:v>2026-08-08</x:v>
      </x:c>
      <x:c r="L25" s="50" t="str"/>
    </x:row>
    <x:row r="26" ht="22" customHeight="1">
      <x:c r="A26" s="50" t="str">
        <x:v>IN-0021</x:v>
      </x:c>
      <x:c r="B26" s="50" t="str">
        <x:v>SP-1121</x:v>
      </x:c>
      <x:c r="C26" s="50" t="str">
        <x:v>Roller Bracket - Standard</x:v>
      </x:c>
      <x:c r="D26" s="50" t="str">
        <x:v>Conveyor Systems</x:v>
      </x:c>
      <x:c r="E26" s="50" t="str">
        <x:v>WH-D-01-05</x:v>
      </x:c>
      <x:c r="F26" s="50" t="str">
        <x:v>pair</x:v>
      </x:c>
      <x:c r="G26" s="54" t="n">
        <x:v>26</x:v>
      </x:c>
      <x:c r="H26" s="54" t="str">
        <x:v>-1</x:v>
      </x:c>
      <x:c r="I26" s="52" t="n">
        <x:v>229.64</x:v>
      </x:c>
      <x:c r="J26" s="50" t="str">
        <x:v>Redgate Supply</x:v>
      </x:c>
      <x:c r="K26" s="50" t="str">
        <x:v>2026-07-03</x:v>
      </x:c>
      <x:c r="L26" s="50" t="str"/>
    </x:row>
    <x:row r="27" ht="22" customHeight="1">
      <x:c r="A27" s="50" t="str">
        <x:v>IN-0022</x:v>
      </x:c>
      <x:c r="B27" s="50" t="str">
        <x:v>SP-1122</x:v>
      </x:c>
      <x:c r="C27" s="50" t="str">
        <x:v>Belt Cleaner Arm - Metric</x:v>
      </x:c>
      <x:c r="D27" s="50" t="str">
        <x:v>Conveyor Systems</x:v>
      </x:c>
      <x:c r="E27" s="50" t="str">
        <x:v>WH-B-04-01</x:v>
      </x:c>
      <x:c r="F27" s="50" t="str">
        <x:v>each</x:v>
      </x:c>
      <x:c r="G27" s="54" t="n">
        <x:v>57</x:v>
      </x:c>
      <x:c r="H27" s="54" t="n">
        <x:v>14</x:v>
      </x:c>
      <x:c r="I27" s="52" t="n">
        <x:v>293.14</x:v>
      </x:c>
      <x:c r="J27" s="50" t="str">
        <x:v>REDGATE SUPPLY</x:v>
      </x:c>
      <x:c r="K27" s="50" t="str">
        <x:v>2026-07-26</x:v>
      </x:c>
      <x:c r="L27" s="50" t="str"/>
    </x:row>
    <x:row r="28" ht="22" customHeight="1">
      <x:c r="A28" s="50" t="str">
        <x:v>IN-0023</x:v>
      </x:c>
      <x:c r="B28" s="50" t="str">
        <x:v>SP-1123</x:v>
      </x:c>
      <x:c r="C28" s="50" t="str">
        <x:v>Guard Panel - Standard</x:v>
      </x:c>
      <x:c r="D28" s="50" t="str">
        <x:v>Conveyors</x:v>
      </x:c>
      <x:c r="E28" s="50" t="str">
        <x:v>WH-B-03-01</x:v>
      </x:c>
      <x:c r="F28" s="50" t="str">
        <x:v>ft</x:v>
      </x:c>
      <x:c r="G28" s="54" t="n">
        <x:v>20</x:v>
      </x:c>
      <x:c r="H28" s="54" t="n">
        <x:v>21</x:v>
      </x:c>
      <x:c r="I28" s="52" t="n">
        <x:v>120.77</x:v>
      </x:c>
      <x:c r="J28" s="50" t="str">
        <x:v>Meridian Ind.</x:v>
      </x:c>
      <x:c r="K28" s="50" t="str">
        <x:v>2026-07-07</x:v>
      </x:c>
      <x:c r="L28" s="50" t="str"/>
    </x:row>
    <x:row r="29" ht="22" customHeight="1">
      <x:c r="A29" s="50" t="str">
        <x:v>IN-0024</x:v>
      </x:c>
      <x:c r="B29" s="50" t="str">
        <x:v>SP 1124</x:v>
      </x:c>
      <x:c r="C29" s="50" t="str">
        <x:v> splice plate  -  metric </x:v>
      </x:c>
      <x:c r="D29" s="50" t="str">
        <x:v>CONVEYOR</x:v>
      </x:c>
      <x:c r="E29" s="50" t="str">
        <x:v>WH-C-03-03</x:v>
      </x:c>
      <x:c r="F29" s="50" t="str">
        <x:v>pcs</x:v>
      </x:c>
      <x:c r="G29" s="54" t="n">
        <x:v>67</x:v>
      </x:c>
      <x:c r="H29" s="54" t="n">
        <x:v>17</x:v>
      </x:c>
      <x:c r="I29" s="52" t="n">
        <x:v>41.8</x:v>
      </x:c>
      <x:c r="J29" s="50" t="str">
        <x:v>Canyon Equip.</x:v>
      </x:c>
      <x:c r="K29" s="50" t="str">
        <x:v>2026-07-18</x:v>
      </x:c>
      <x:c r="L29" s="50" t="str"/>
    </x:row>
    <x:row r="30" ht="22" customHeight="1">
      <x:c r="A30" s="50" t="str">
        <x:v>IN-0025</x:v>
      </x:c>
      <x:c r="B30" s="50" t="str">
        <x:v>SP 1125</x:v>
      </x:c>
      <x:c r="C30" s="50" t="str">
        <x:v>Hydraulic Hose Assembly - Type B</x:v>
      </x:c>
      <x:c r="D30" s="50" t="str">
        <x:v>Hydraulics</x:v>
      </x:c>
      <x:c r="E30" s="50" t="str">
        <x:v>WH-A-03-04</x:v>
      </x:c>
      <x:c r="F30" s="50" t="str">
        <x:v>each</x:v>
      </x:c>
      <x:c r="G30" s="54" t="n">
        <x:v>88</x:v>
      </x:c>
      <x:c r="H30" s="54" t="n">
        <x:v>21</x:v>
      </x:c>
      <x:c r="I30" s="52" t="n">
        <x:v>276.82</x:v>
      </x:c>
      <x:c r="J30" s="50" t="str">
        <x:v>Redgate Supply</x:v>
      </x:c>
      <x:c r="K30" s="50" t="str">
        <x:v>2026-08-22</x:v>
      </x:c>
      <x:c r="L30" s="50" t="str"/>
    </x:row>
    <x:row r="31" ht="22" customHeight="1">
      <x:c r="A31" s="50" t="str">
        <x:v>IN-0026</x:v>
      </x:c>
      <x:c r="B31" s="50" t="str">
        <x:v>sp-1126</x:v>
      </x:c>
      <x:c r="C31" s="50" t="str">
        <x:v>Quick Connect Coupler - Heavy Duty</x:v>
      </x:c>
      <x:c r="D31" s="50" t="str">
        <x:v>HYD</x:v>
      </x:c>
      <x:c r="E31" s="50" t="str">
        <x:v>B2-05</x:v>
      </x:c>
      <x:c r="F31" s="50" t="str">
        <x:v>EA</x:v>
      </x:c>
      <x:c r="G31" s="54" t="n">
        <x:v>76</x:v>
      </x:c>
      <x:c r="H31" s="54" t="n">
        <x:v>19</x:v>
      </x:c>
      <x:c r="I31" s="52" t="str"/>
      <x:c r="J31" s="50" t="str">
        <x:v>MERIDIAN INDUSTRIAL</x:v>
      </x:c>
      <x:c r="K31" s="50" t="str">
        <x:v>08/06/2026</x:v>
      </x:c>
      <x:c r="L31" s="50" t="str"/>
    </x:row>
    <x:row r="32" ht="22" customHeight="1">
      <x:c r="A32" s="50" t="str">
        <x:v>IN-0027</x:v>
      </x:c>
      <x:c r="B32" s="50" t="str">
        <x:v>SP1127</x:v>
      </x:c>
      <x:c r="C32" s="50" t="str">
        <x:v>Hydraulic Filter - Type B</x:v>
      </x:c>
      <x:c r="D32" s="50" t="str">
        <x:v>Hydraulics</x:v>
      </x:c>
      <x:c r="E32" s="50" t="str">
        <x:v>A2-04</x:v>
      </x:c>
      <x:c r="F32" s="50" t="str">
        <x:v>pair</x:v>
      </x:c>
      <x:c r="G32" s="54" t="n">
        <x:v>-3</x:v>
      </x:c>
      <x:c r="H32" s="54" t="n">
        <x:v>8</x:v>
      </x:c>
      <x:c r="I32" s="52" t="n">
        <x:v>215.97</x:v>
      </x:c>
      <x:c r="J32" s="50" t="str">
        <x:v>Meridian Ind.</x:v>
      </x:c>
      <x:c r="K32" s="50" t="str">
        <x:v>2026-08-25</x:v>
      </x:c>
      <x:c r="L32" s="50" t="str"/>
    </x:row>
    <x:row r="33" ht="22" customHeight="1">
      <x:c r="A33" s="50" t="str">
        <x:v>IN-0028</x:v>
      </x:c>
      <x:c r="B33" s="50" t="str">
        <x:v>SP1128</x:v>
      </x:c>
      <x:c r="C33" s="50" t="str">
        <x:v>Cylinder Seal Kit - Heavy Duty</x:v>
      </x:c>
      <x:c r="D33" s="50" t="str">
        <x:v>HYD</x:v>
      </x:c>
      <x:c r="E33" s="50" t="str">
        <x:v>wh-d-01-05</x:v>
      </x:c>
      <x:c r="F33" s="50" t="str">
        <x:v>BOX</x:v>
      </x:c>
      <x:c r="G33" s="54" t="n">
        <x:v>17</x:v>
      </x:c>
      <x:c r="H33" s="54" t="n">
        <x:v>9</x:v>
      </x:c>
      <x:c r="I33" s="52" t="n">
        <x:v>179.65</x:v>
      </x:c>
      <x:c r="J33" s="50" t="str">
        <x:v>North Forge Parts</x:v>
      </x:c>
      <x:c r="K33" s="50" t="str">
        <x:v>2026-07-25</x:v>
      </x:c>
      <x:c r="L33" s="50" t="str"/>
    </x:row>
    <x:row r="34" ht="22" customHeight="1">
      <x:c r="A34" s="50" t="str">
        <x:v>IN-0029</x:v>
      </x:c>
      <x:c r="B34" s="50" t="str">
        <x:v>sp-1129</x:v>
      </x:c>
      <x:c r="C34" s="50" t="str">
        <x:v>Pressure Gauge - Standard</x:v>
      </x:c>
      <x:c r="D34" s="50" t="str">
        <x:v>Hydraulics</x:v>
      </x:c>
      <x:c r="E34" s="50" t="str">
        <x:v>wh-b-04-02</x:v>
      </x:c>
      <x:c r="F34" s="50" t="str">
        <x:v>each</x:v>
      </x:c>
      <x:c r="G34" s="54" t="n">
        <x:v>5</x:v>
      </x:c>
      <x:c r="H34" s="54" t="n">
        <x:v>14</x:v>
      </x:c>
      <x:c r="I34" s="52" t="n">
        <x:v>246.7</x:v>
      </x:c>
      <x:c r="J34" s="50" t="str">
        <x:v>CANYON EQUIPMENT</x:v>
      </x:c>
      <x:c r="K34" s="50" t="str">
        <x:v>2026-08-02</x:v>
      </x:c>
      <x:c r="L34" s="50" t="str"/>
    </x:row>
    <x:row r="35" ht="22" customHeight="1">
      <x:c r="A35" s="50" t="str">
        <x:v>IN-0030</x:v>
      </x:c>
      <x:c r="B35" s="50" t="str">
        <x:v>SP1130</x:v>
      </x:c>
      <x:c r="C35" s="50" t="str">
        <x:v>Hydraulic Elbow - Heavy Duty</x:v>
      </x:c>
      <x:c r="D35" s="50" t="str">
        <x:v>HYD</x:v>
      </x:c>
      <x:c r="E35" s="50" t="str">
        <x:v>A3-02</x:v>
      </x:c>
      <x:c r="F35" s="50" t="str">
        <x:v>ea</x:v>
      </x:c>
      <x:c r="G35" s="54" t="n">
        <x:v>12</x:v>
      </x:c>
      <x:c r="H35" s="54" t="n">
        <x:v>17</x:v>
      </x:c>
      <x:c r="I35" s="52" t="n">
        <x:v>286.46</x:v>
      </x:c>
      <x:c r="J35" s="50" t="str">
        <x:v>Meridian Industrial</x:v>
      </x:c>
      <x:c r="K35" s="50" t="str">
        <x:v>2026-09-10</x:v>
      </x:c>
      <x:c r="L35" s="50" t="str"/>
    </x:row>
    <x:row r="36" ht="22" customHeight="1">
      <x:c r="A36" s="50" t="str">
        <x:v>IN-0031</x:v>
      </x:c>
      <x:c r="B36" s="50" t="str">
        <x:v>sp-1131</x:v>
      </x:c>
      <x:c r="C36" s="50" t="str">
        <x:v>O-Ring Assortment - Series 2</x:v>
      </x:c>
      <x:c r="D36" s="50" t="str">
        <x:v>Hydraulics</x:v>
      </x:c>
      <x:c r="E36" s="50" t="str">
        <x:v>A1-02</x:v>
      </x:c>
      <x:c r="F36" s="50" t="str">
        <x:v>pair</x:v>
      </x:c>
      <x:c r="G36" s="54" t="n">
        <x:v>3</x:v>
      </x:c>
      <x:c r="H36" s="54" t="n">
        <x:v>17</x:v>
      </x:c>
      <x:c r="I36" s="52" t="n">
        <x:v>4.73</x:v>
      </x:c>
      <x:c r="J36" s="50" t="str">
        <x:v>Canyon Equip.</x:v>
      </x:c>
      <x:c r="K36" s="50" t="str">
        <x:v>2026-13-02</x:v>
      </x:c>
      <x:c r="L36" s="50" t="str"/>
    </x:row>
    <x:row r="37" ht="22" customHeight="1">
      <x:c r="A37" s="50" t="str">
        <x:v>IN-0032</x:v>
      </x:c>
      <x:c r="B37" s="50" t="str">
        <x:v>SP-1132</x:v>
      </x:c>
      <x:c r="C37" s="50" t="str">
        <x:v> relief valve  -  standard </x:v>
      </x:c>
      <x:c r="D37" s="50" t="str">
        <x:v>Hydraulics</x:v>
      </x:c>
      <x:c r="E37" s="50" t="str">
        <x:v>wh-d-04-01</x:v>
      </x:c>
      <x:c r="F37" s="50" t="str">
        <x:v>ft</x:v>
      </x:c>
      <x:c r="G37" s="54" t="n">
        <x:v>56</x:v>
      </x:c>
      <x:c r="H37" s="54" t="n">
        <x:v>11</x:v>
      </x:c>
      <x:c r="I37" s="52" t="n">
        <x:v>329.67</x:v>
      </x:c>
      <x:c r="J37" s="50" t="str">
        <x:v>Redgate</x:v>
      </x:c>
      <x:c r="K37" s="50" t="str">
        <x:v>2026-08-01</x:v>
      </x:c>
      <x:c r="L37" s="50" t="str"/>
    </x:row>
    <x:row r="38" ht="22" customHeight="1">
      <x:c r="A38" s="50" t="str">
        <x:v>IN-0033</x:v>
      </x:c>
      <x:c r="B38" s="50" t="str">
        <x:v>SP-1133</x:v>
      </x:c>
      <x:c r="C38" s="50" t="str">
        <x:v>Hydraulic Tee - Type B</x:v>
      </x:c>
      <x:c r="D38" s="50" t="str">
        <x:v>UNKNOWN CATEGORY</x:v>
      </x:c>
      <x:c r="E38" s="50" t="str">
        <x:v>wh-c-04-05</x:v>
      </x:c>
      <x:c r="F38" s="50" t="str">
        <x:v>EA</x:v>
      </x:c>
      <x:c r="G38" s="54" t="n">
        <x:v>51</x:v>
      </x:c>
      <x:c r="H38" s="54" t="n">
        <x:v>20</x:v>
      </x:c>
      <x:c r="I38" s="52" t="n">
        <x:v>134.86</x:v>
      </x:c>
      <x:c r="J38" s="50" t="str">
        <x:v>Meridian Ind.</x:v>
      </x:c>
      <x:c r="K38" s="50" t="str">
        <x:v>2026-07-20</x:v>
      </x:c>
      <x:c r="L38" s="50" t="str"/>
    </x:row>
    <x:row r="39" ht="22" customHeight="1">
      <x:c r="A39" s="50" t="str">
        <x:v>IN-0034</x:v>
      </x:c>
      <x:c r="B39" s="50" t="str">
        <x:v>SP-1134</x:v>
      </x:c>
      <x:c r="C39" s="50" t="str">
        <x:v>Return Line Filter - Type B</x:v>
      </x:c>
      <x:c r="D39" s="50" t="str">
        <x:v>Hydraulic</x:v>
      </x:c>
      <x:c r="E39" s="50" t="str">
        <x:v>wh-c-03-05</x:v>
      </x:c>
      <x:c r="F39" s="50" t="str">
        <x:v>ea</x:v>
      </x:c>
      <x:c r="G39" s="54" t="n">
        <x:v>10</x:v>
      </x:c>
      <x:c r="H39" s="54" t="n">
        <x:v>18</x:v>
      </x:c>
      <x:c r="I39" s="52" t="n">
        <x:v>228.38</x:v>
      </x:c>
      <x:c r="J39" s="50" t="str">
        <x:v>Meridian Industrial</x:v>
      </x:c>
      <x:c r="K39" s="50" t="str">
        <x:v>2026-07-22</x:v>
      </x:c>
      <x:c r="L39" s="50" t="str"/>
    </x:row>
    <x:row r="40" ht="22" customHeight="1">
      <x:c r="A40" s="50" t="str">
        <x:v>IN-0035</x:v>
      </x:c>
      <x:c r="B40" s="50" t="str">
        <x:v>sp-1135</x:v>
      </x:c>
      <x:c r="C40" s="50" t="str">
        <x:v>Hydraulic Clamp - Series 2</x:v>
      </x:c>
      <x:c r="D40" s="50" t="str">
        <x:v>Hydraulic</x:v>
      </x:c>
      <x:c r="E40" s="50" t="str">
        <x:v>STAGING???</x:v>
      </x:c>
      <x:c r="F40" s="50" t="str">
        <x:v>ea</x:v>
      </x:c>
      <x:c r="G40" s="54" t="n">
        <x:v>35</x:v>
      </x:c>
      <x:c r="H40" s="54" t="n">
        <x:v>7</x:v>
      </x:c>
      <x:c r="I40" s="52" t="n">
        <x:v>266.83</x:v>
      </x:c>
      <x:c r="J40" s="50" t="str">
        <x:v>North Forge Parts</x:v>
      </x:c>
      <x:c r="K40" s="50" t="str">
        <x:v>2026-07-05</x:v>
      </x:c>
      <x:c r="L40" s="50" t="str"/>
    </x:row>
    <x:row r="41" ht="22" customHeight="1">
      <x:c r="A41" s="50" t="str">
        <x:v>IN-0036</x:v>
      </x:c>
      <x:c r="B41" s="50" t="str">
        <x:v>sp-1136</x:v>
      </x:c>
      <x:c r="C41" s="50" t="str">
        <x:v>Flow Control Valve - Heavy Duty</x:v>
      </x:c>
      <x:c r="D41" s="50" t="str">
        <x:v>HYD</x:v>
      </x:c>
      <x:c r="E41" s="50" t="str">
        <x:v>wh-a-01-05</x:v>
      </x:c>
      <x:c r="F41" s="50" t="str">
        <x:v>EA</x:v>
      </x:c>
      <x:c r="G41" s="54" t="n">
        <x:v>21</x:v>
      </x:c>
      <x:c r="H41" s="54" t="n">
        <x:v>6</x:v>
      </x:c>
      <x:c r="I41" s="52" t="n">
        <x:v>268.39</x:v>
      </x:c>
      <x:c r="J41" s="50" t="str">
        <x:v>Redgate Supply</x:v>
      </x:c>
      <x:c r="K41" s="50" t="str">
        <x:v>2026-09-01</x:v>
      </x:c>
      <x:c r="L41" s="50" t="str"/>
    </x:row>
    <x:row r="42" ht="22" customHeight="1">
      <x:c r="A42" s="50" t="str">
        <x:v>IN-0037</x:v>
      </x:c>
      <x:c r="B42" s="50" t="str">
        <x:v>SP-1137</x:v>
      </x:c>
      <x:c r="C42" s="50" t="str">
        <x:v>24V Control Relay - Type B</x:v>
      </x:c>
      <x:c r="D42" s="50" t="str">
        <x:v>Electrical</x:v>
      </x:c>
      <x:c r="E42" s="50" t="str">
        <x:v>C4-02</x:v>
      </x:c>
      <x:c r="F42" s="50" t="str">
        <x:v>pair</x:v>
      </x:c>
      <x:c r="G42" s="54" t="n">
        <x:v>88</x:v>
      </x:c>
      <x:c r="H42" s="54" t="n">
        <x:v>10</x:v>
      </x:c>
      <x:c r="I42" s="52" t="n">
        <x:v>77.81</x:v>
      </x:c>
      <x:c r="J42" s="50" t="str">
        <x:v>N. Forge Parts</x:v>
      </x:c>
      <x:c r="K42" s="50" t="str">
        <x:v>2026-07-15</x:v>
      </x:c>
      <x:c r="L42" s="50" t="str"/>
    </x:row>
    <x:row r="43" ht="22" customHeight="1">
      <x:c r="A43" s="50" t="str">
        <x:v>IN-0038</x:v>
      </x:c>
      <x:c r="B43" s="50" t="str">
        <x:v>SP-1138</x:v>
      </x:c>
      <x:c r="C43" s="50" t="str">
        <x:v>Contactor Coil - Metric</x:v>
      </x:c>
      <x:c r="D43" s="50" t="str">
        <x:v>ELEC Controls</x:v>
      </x:c>
      <x:c r="E43" s="50" t="str">
        <x:v>WH-D-01-01</x:v>
      </x:c>
      <x:c r="F43" s="50" t="str">
        <x:v>each</x:v>
      </x:c>
      <x:c r="G43" s="54" t="n">
        <x:v>65</x:v>
      </x:c>
      <x:c r="H43" s="54" t="n">
        <x:v>15</x:v>
      </x:c>
      <x:c r="I43" s="52" t="n">
        <x:v>288.19</x:v>
      </x:c>
      <x:c r="J43" s="50" t="str">
        <x:v>Meridian Ind.</x:v>
      </x:c>
      <x:c r="K43" s="50" t="str">
        <x:v>2026-07-19</x:v>
      </x:c>
      <x:c r="L43" s="50" t="str"/>
    </x:row>
    <x:row r="44" ht="22" customHeight="1">
      <x:c r="A44" s="50" t="str">
        <x:v>IN-0039</x:v>
      </x:c>
      <x:c r="B44" s="50" t="str">
        <x:v>SP-1139</x:v>
      </x:c>
      <x:c r="C44" s="50" t="str">
        <x:v>Proximity Sensor - Heavy Duty</x:v>
      </x:c>
      <x:c r="D44" s="50" t="str">
        <x:v>Electrical Controls</x:v>
      </x:c>
      <x:c r="E44" s="50" t="str">
        <x:v>wh-c-01-03</x:v>
      </x:c>
      <x:c r="F44" s="50" t="str">
        <x:v>EA</x:v>
      </x:c>
      <x:c r="G44" s="54" t="n">
        <x:v>56</x:v>
      </x:c>
      <x:c r="H44" s="54" t="n">
        <x:v>6</x:v>
      </x:c>
      <x:c r="I44" s="52" t="n">
        <x:v>89.59</x:v>
      </x:c>
      <x:c r="J44" s="50" t="str">
        <x:v>Canyon Equip.</x:v>
      </x:c>
      <x:c r="K44" s="50" t="str">
        <x:v>08/06/2026</x:v>
      </x:c>
      <x:c r="L44" s="50" t="str"/>
    </x:row>
    <x:row r="45" ht="22" customHeight="1">
      <x:c r="A45" s="50" t="str">
        <x:v>IN-0040</x:v>
      </x:c>
      <x:c r="B45" s="50" t="str">
        <x:v>SP-1140</x:v>
      </x:c>
      <x:c r="C45" s="50" t="str">
        <x:v> limit switch  -  type b </x:v>
      </x:c>
      <x:c r="D45" s="50" t="str">
        <x:v>Electrical Controls</x:v>
      </x:c>
      <x:c r="E45" s="50" t="str">
        <x:v>WH-D-03-03</x:v>
      </x:c>
      <x:c r="F45" s="50" t="str">
        <x:v>BOX</x:v>
      </x:c>
      <x:c r="G45" s="54" t="n">
        <x:v>23</x:v>
      </x:c>
      <x:c r="H45" s="54" t="n">
        <x:v>18</x:v>
      </x:c>
      <x:c r="I45" s="52" t="n">
        <x:v>75.53</x:v>
      </x:c>
      <x:c r="J45" s="50" t="str">
        <x:v>NORTH FORGE PARTS</x:v>
      </x:c>
      <x:c r="K45" s="50" t="str">
        <x:v>2026-07-17</x:v>
      </x:c>
      <x:c r="L45" s="50" t="str"/>
    </x:row>
    <x:row r="46" ht="22" customHeight="1">
      <x:c r="A46" s="50" t="str">
        <x:v>IN-0041</x:v>
      </x:c>
      <x:c r="B46" s="50" t="str">
        <x:v>SP-1141</x:v>
      </x:c>
      <x:c r="C46" s="50" t="str">
        <x:v>Panel Fuse - Type B</x:v>
      </x:c>
      <x:c r="D46" s="50" t="str">
        <x:v>Electrical</x:v>
      </x:c>
      <x:c r="E46" s="50" t="str">
        <x:v>wh-a-04-04</x:v>
      </x:c>
      <x:c r="F46" s="50" t="str">
        <x:v>ea</x:v>
      </x:c>
      <x:c r="G46" s="54" t="str"/>
      <x:c r="H46" s="54" t="n">
        <x:v>22</x:v>
      </x:c>
      <x:c r="I46" s="52" t="n">
        <x:v>276.55</x:v>
      </x:c>
      <x:c r="J46" s="50" t="str">
        <x:v>Redgate Supply</x:v>
      </x:c>
      <x:c r="K46" s="50" t="str">
        <x:v>2026-08-26</x:v>
      </x:c>
      <x:c r="L46" s="50" t="str"/>
    </x:row>
    <x:row r="47" ht="22" customHeight="1">
      <x:c r="A47" s="50" t="str">
        <x:v>IN-0042</x:v>
      </x:c>
      <x:c r="B47" s="50" t="str">
        <x:v>SP-1142</x:v>
      </x:c>
      <x:c r="C47" s="50" t="str">
        <x:v>Terminal Block - Type B</x:v>
      </x:c>
      <x:c r="D47" s="50" t="str">
        <x:v>Electrical</x:v>
      </x:c>
      <x:c r="E47" s="50" t="str">
        <x:v>C2-05</x:v>
      </x:c>
      <x:c r="F47" s="50" t="str">
        <x:v>pair</x:v>
      </x:c>
      <x:c r="G47" s="54" t="n">
        <x:v>12</x:v>
      </x:c>
      <x:c r="H47" s="54" t="n">
        <x:v>22</x:v>
      </x:c>
      <x:c r="I47" s="52" t="n">
        <x:v>301.91</x:v>
      </x:c>
      <x:c r="J47" s="50" t="str">
        <x:v>Meridian Industrial</x:v>
      </x:c>
      <x:c r="K47" s="50" t="str">
        <x:v>2026-08-09</x:v>
      </x:c>
      <x:c r="L47" s="50" t="str"/>
    </x:row>
    <x:row r="48" ht="22" customHeight="1">
      <x:c r="A48" s="50" t="str">
        <x:v>IN-0043</x:v>
      </x:c>
      <x:c r="B48" s="50" t="str">
        <x:v>SP-1143</x:v>
      </x:c>
      <x:c r="C48" s="50" t="str">
        <x:v>Emergency Stop Button - Heavy Duty</x:v>
      </x:c>
      <x:c r="D48" s="50" t="str">
        <x:v>ELEC Controls</x:v>
      </x:c>
      <x:c r="E48" s="50" t="str">
        <x:v>B3-05</x:v>
      </x:c>
      <x:c r="F48" s="50" t="str">
        <x:v>ea</x:v>
      </x:c>
      <x:c r="G48" s="54" t="n">
        <x:v>9</x:v>
      </x:c>
      <x:c r="H48" s="54" t="n">
        <x:v>11</x:v>
      </x:c>
      <x:c r="I48" s="52" t="n">
        <x:v>26.44</x:v>
      </x:c>
      <x:c r="J48" s="50" t="str">
        <x:v>Canyon Equip.</x:v>
      </x:c>
      <x:c r="K48" s="50" t="str">
        <x:v>2026-08-26</x:v>
      </x:c>
      <x:c r="L48" s="50" t="str"/>
    </x:row>
    <x:row r="49" ht="22" customHeight="1">
      <x:c r="A49" s="50" t="str">
        <x:v>IN-0044</x:v>
      </x:c>
      <x:c r="B49" s="50" t="str">
        <x:v>SP-1144</x:v>
      </x:c>
      <x:c r="C49" s="50" t="str">
        <x:v>Motor Starter - Series 2</x:v>
      </x:c>
      <x:c r="D49" s="50" t="str">
        <x:v>Electrical</x:v>
      </x:c>
      <x:c r="E49" s="50" t="str">
        <x:v>wh-a-03-04</x:v>
      </x:c>
      <x:c r="F49" s="50" t="str">
        <x:v>PACK</x:v>
      </x:c>
      <x:c r="G49" s="54" t="n">
        <x:v>77</x:v>
      </x:c>
      <x:c r="H49" s="54" t="n">
        <x:v>18</x:v>
      </x:c>
      <x:c r="I49" s="52" t="n">
        <x:v>59.64</x:v>
      </x:c>
      <x:c r="J49" s="50" t="str">
        <x:v>MERIDIAN INDUSTRIAL</x:v>
      </x:c>
      <x:c r="K49" s="50" t="str">
        <x:v>2026-07-10</x:v>
      </x:c>
      <x:c r="L49" s="50" t="str"/>
    </x:row>
    <x:row r="50" ht="22" customHeight="1">
      <x:c r="A50" s="50" t="str">
        <x:v>IN-0045</x:v>
      </x:c>
      <x:c r="B50" s="50" t="str">
        <x:v>SP-1145</x:v>
      </x:c>
      <x:c r="C50" s="50" t="str">
        <x:v>DIN Rail - Standard</x:v>
      </x:c>
      <x:c r="D50" s="50" t="str">
        <x:v>Electrical Controls</x:v>
      </x:c>
      <x:c r="E50" s="50" t="str">
        <x:v>wh-d-04-05</x:v>
      </x:c>
      <x:c r="F50" s="50" t="str">
        <x:v>pcs</x:v>
      </x:c>
      <x:c r="G50" s="54" t="n">
        <x:v>18</x:v>
      </x:c>
      <x:c r="H50" s="54" t="n">
        <x:v>22</x:v>
      </x:c>
      <x:c r="I50" s="52" t="n">
        <x:v>110.91</x:v>
      </x:c>
      <x:c r="J50" s="50" t="str">
        <x:v>Redgate Supply</x:v>
      </x:c>
      <x:c r="K50" s="50" t="str">
        <x:v>2026-09-07</x:v>
      </x:c>
      <x:c r="L50" s="50" t="str"/>
    </x:row>
    <x:row r="51" ht="22" customHeight="1">
      <x:c r="A51" s="50" t="str">
        <x:v>IN-0046</x:v>
      </x:c>
      <x:c r="B51" s="50" t="str">
        <x:v>sp-1146</x:v>
      </x:c>
      <x:c r="C51" s="50" t="str">
        <x:v>Cable Gland - Metric</x:v>
      </x:c>
      <x:c r="D51" s="50" t="str">
        <x:v>Electrical</x:v>
      </x:c>
      <x:c r="E51" s="50" t="str">
        <x:v>C1-01</x:v>
      </x:c>
      <x:c r="F51" s="50" t="str">
        <x:v>FT</x:v>
      </x:c>
      <x:c r="G51" s="54" t="n">
        <x:v>77</x:v>
      </x:c>
      <x:c r="H51" s="54" t="n">
        <x:v>17</x:v>
      </x:c>
      <x:c r="I51" s="52" t="n">
        <x:v>310.05</x:v>
      </x:c>
      <x:c r="J51" s="50" t="str">
        <x:v>REDGATE SUPPLY</x:v>
      </x:c>
      <x:c r="K51" s="50" t="str">
        <x:v>2026-08-10</x:v>
      </x:c>
      <x:c r="L51" s="50" t="str"/>
    </x:row>
    <x:row r="52" ht="22" customHeight="1">
      <x:c r="A52" s="50" t="str">
        <x:v>IN-0047</x:v>
      </x:c>
      <x:c r="B52" s="50" t="str">
        <x:v>SP 1147</x:v>
      </x:c>
      <x:c r="C52" s="50" t="str">
        <x:v>Photoeye Bracket - Heavy Duty</x:v>
      </x:c>
      <x:c r="D52" s="50" t="str">
        <x:v>Electrical Controls</x:v>
      </x:c>
      <x:c r="E52" s="50" t="str">
        <x:v>wh-b-04-05</x:v>
      </x:c>
      <x:c r="F52" s="50" t="str">
        <x:v>pcs</x:v>
      </x:c>
      <x:c r="G52" s="54" t="n">
        <x:v>27</x:v>
      </x:c>
      <x:c r="H52" s="54" t="n">
        <x:v>17</x:v>
      </x:c>
      <x:c r="I52" s="52" t="n">
        <x:v>100.6</x:v>
      </x:c>
      <x:c r="J52" s="50" t="str">
        <x:v>Meridian Industrial</x:v>
      </x:c>
      <x:c r="K52" s="50" t="str">
        <x:v>2026-08-30</x:v>
      </x:c>
      <x:c r="L52" s="50" t="str"/>
    </x:row>
    <x:row r="53" ht="22" customHeight="1">
      <x:c r="A53" s="50" t="str">
        <x:v>IN-0048</x:v>
      </x:c>
      <x:c r="B53" s="50" t="str">
        <x:v>SP-1148</x:v>
      </x:c>
      <x:c r="C53" s="50" t="str">
        <x:v> control transformer  -  series 2 </x:v>
      </x:c>
      <x:c r="D53" s="50" t="str">
        <x:v>Electrical Controls</x:v>
      </x:c>
      <x:c r="E53" s="50" t="str">
        <x:v>wh-c-02-03</x:v>
      </x:c>
      <x:c r="F53" s="50" t="str">
        <x:v>EA</x:v>
      </x:c>
      <x:c r="G53" s="54" t="n">
        <x:v>58</x:v>
      </x:c>
      <x:c r="H53" s="54" t="n">
        <x:v>18</x:v>
      </x:c>
      <x:c r="I53" s="52" t="str">
        <x:v>Call</x:v>
      </x:c>
      <x:c r="J53" s="50" t="str">
        <x:v>Redgate Supply</x:v>
      </x:c>
      <x:c r="K53" s="50" t="str">
        <x:v>2026-09-20</x:v>
      </x:c>
      <x:c r="L53" s="50" t="str"/>
    </x:row>
    <x:row r="54" ht="22" customHeight="1">
      <x:c r="A54" s="50" t="str">
        <x:v>IN-0049</x:v>
      </x:c>
      <x:c r="B54" s="50" t="str">
        <x:v>SP-1149</x:v>
      </x:c>
      <x:c r="C54" s="50" t="str">
        <x:v>Motor Fan Cover - Standard</x:v>
      </x:c>
      <x:c r="D54" s="50" t="str">
        <x:v>Motors &amp; Drives</x:v>
      </x:c>
      <x:c r="E54" s="50" t="str">
        <x:v>WH-C-02-01</x:v>
      </x:c>
      <x:c r="F54" s="50" t="str">
        <x:v>BOX</x:v>
      </x:c>
      <x:c r="G54" s="54" t="n">
        <x:v>30</x:v>
      </x:c>
      <x:c r="H54" s="54" t="n">
        <x:v>7</x:v>
      </x:c>
      <x:c r="I54" s="52" t="n">
        <x:v>46.61</x:v>
      </x:c>
      <x:c r="J54" s="50" t="str">
        <x:v>Canyon Equipment</x:v>
      </x:c>
      <x:c r="K54" s="50" t="str">
        <x:v>2026-07-18</x:v>
      </x:c>
      <x:c r="L54" s="50" t="str"/>
    </x:row>
    <x:row r="55" ht="22" customHeight="1">
      <x:c r="A55" s="50" t="str">
        <x:v>IN-0050</x:v>
      </x:c>
      <x:c r="B55" s="50" t="str">
        <x:v>SP-1150</x:v>
      </x:c>
      <x:c r="C55" s="50" t="str">
        <x:v>Motor Thermal Overload - Heavy Duty</x:v>
      </x:c>
      <x:c r="D55" s="50" t="str">
        <x:v>Motors &amp; Drives</x:v>
      </x:c>
      <x:c r="E55" s="50" t="str">
        <x:v>WH-B-02-02</x:v>
      </x:c>
      <x:c r="F55" s="50" t="str">
        <x:v>pcs</x:v>
      </x:c>
      <x:c r="G55" s="54" t="n">
        <x:v>74</x:v>
      </x:c>
      <x:c r="H55" s="54" t="n">
        <x:v>11</x:v>
      </x:c>
      <x:c r="I55" s="52" t="n">
        <x:v>47.42</x:v>
      </x:c>
      <x:c r="J55" s="50" t="str">
        <x:v>Canyon Equip.</x:v>
      </x:c>
      <x:c r="K55" s="50" t="str">
        <x:v>2026-08-23</x:v>
      </x:c>
      <x:c r="L55" s="50" t="str"/>
    </x:row>
    <x:row r="56" ht="22" customHeight="1">
      <x:c r="A56" s="50" t="str">
        <x:v>IN-0051</x:v>
      </x:c>
      <x:c r="B56" s="50" t="str">
        <x:v>SP-1151</x:v>
      </x:c>
      <x:c r="C56" s="50" t="str">
        <x:v>Variable Speed Drive Fuse - Series 2</x:v>
      </x:c>
      <x:c r="D56" s="50" t="str">
        <x:v>MOTORS</x:v>
      </x:c>
      <x:c r="E56" s="50" t="str"/>
      <x:c r="F56" s="50" t="str">
        <x:v>pcs</x:v>
      </x:c>
      <x:c r="G56" s="54" t="n">
        <x:v>56</x:v>
      </x:c>
      <x:c r="H56" s="54" t="n">
        <x:v>13</x:v>
      </x:c>
      <x:c r="I56" s="52" t="n">
        <x:v>268.98</x:v>
      </x:c>
      <x:c r="J56" s="50" t="str">
        <x:v>North Forge Parts</x:v>
      </x:c>
      <x:c r="K56" s="50" t="str">
        <x:v>2026-08-20</x:v>
      </x:c>
      <x:c r="L56" s="50" t="str"/>
    </x:row>
    <x:row r="57" ht="22" customHeight="1">
      <x:c r="A57" s="50" t="str">
        <x:v>IN-0052</x:v>
      </x:c>
      <x:c r="B57" s="50" t="str">
        <x:v>SP 1152</x:v>
      </x:c>
      <x:c r="C57" s="50" t="str">
        <x:v>Gear Reducer Seal - Type B</x:v>
      </x:c>
      <x:c r="D57" s="50" t="str">
        <x:v>Motors &amp; Drives</x:v>
      </x:c>
      <x:c r="E57" s="50" t="str">
        <x:v>WH-A-03-05</x:v>
      </x:c>
      <x:c r="F57" s="50" t="str">
        <x:v>pcs</x:v>
      </x:c>
      <x:c r="G57" s="54" t="n">
        <x:v>48</x:v>
      </x:c>
      <x:c r="H57" s="54" t="n">
        <x:v>12</x:v>
      </x:c>
      <x:c r="I57" s="52" t="n">
        <x:v>186.06</x:v>
      </x:c>
      <x:c r="J57" s="50" t="str">
        <x:v>CANYON EQUIPMENT</x:v>
      </x:c>
      <x:c r="K57" s="50" t="str">
        <x:v>07/15/2026</x:v>
      </x:c>
      <x:c r="L57" s="50" t="str"/>
    </x:row>
    <x:row r="58" ht="22" customHeight="1">
      <x:c r="A58" s="50" t="str">
        <x:v>IN-0053</x:v>
      </x:c>
      <x:c r="B58" s="50" t="str">
        <x:v>sp-1153</x:v>
      </x:c>
      <x:c r="C58" s="50" t="str">
        <x:v>Motor Shaft Adapter - Type B</x:v>
      </x:c>
      <x:c r="D58" s="50" t="str">
        <x:v>Motors &amp; Drives</x:v>
      </x:c>
      <x:c r="E58" s="50" t="str">
        <x:v>wh-d-01-05</x:v>
      </x:c>
      <x:c r="F58" s="50" t="str">
        <x:v>pcs</x:v>
      </x:c>
      <x:c r="G58" s="54" t="n">
        <x:v>54</x:v>
      </x:c>
      <x:c r="H58" s="54" t="n">
        <x:v>11</x:v>
      </x:c>
      <x:c r="I58" s="52" t="n">
        <x:v>133.46</x:v>
      </x:c>
      <x:c r="J58" s="50" t="str">
        <x:v>Canyon Equipment</x:v>
      </x:c>
      <x:c r="K58" s="50" t="str">
        <x:v>2026-08-09</x:v>
      </x:c>
      <x:c r="L58" s="50" t="str"/>
    </x:row>
    <x:row r="59" ht="22" customHeight="1">
      <x:c r="A59" s="50" t="str">
        <x:v>IN-0054</x:v>
      </x:c>
      <x:c r="B59" s="50" t="str">
        <x:v>SP-1154</x:v>
      </x:c>
      <x:c r="C59" s="50" t="str">
        <x:v>Motor Mount Plate - Series 2</x:v>
      </x:c>
      <x:c r="D59" s="50" t="str">
        <x:v>Motors &amp; Drives</x:v>
      </x:c>
      <x:c r="E59" s="50" t="str">
        <x:v>WH-A-04-01</x:v>
      </x:c>
      <x:c r="F59" s="50" t="str">
        <x:v>ea</x:v>
      </x:c>
      <x:c r="G59" s="54" t="n">
        <x:v>42</x:v>
      </x:c>
      <x:c r="H59" s="54" t="n">
        <x:v>11</x:v>
      </x:c>
      <x:c r="I59" s="52" t="n">
        <x:v>321.54</x:v>
      </x:c>
      <x:c r="J59" s="50" t="str">
        <x:v>NORTH FORGE PARTS</x:v>
      </x:c>
      <x:c r="K59" s="50" t="str">
        <x:v>2026-08-11</x:v>
      </x:c>
      <x:c r="L59" s="50" t="str"/>
    </x:row>
    <x:row r="60" ht="22" customHeight="1">
      <x:c r="A60" s="50" t="str">
        <x:v>IN-0055</x:v>
      </x:c>
      <x:c r="B60" s="50" t="str">
        <x:v>SP-1155</x:v>
      </x:c>
      <x:c r="C60" s="50" t="str">
        <x:v>Encoder Coupling - Standard</x:v>
      </x:c>
      <x:c r="D60" s="50" t="str">
        <x:v>Motors &amp; Drives</x:v>
      </x:c>
      <x:c r="E60" s="50" t="str">
        <x:v>A1-03</x:v>
      </x:c>
      <x:c r="F60" s="50" t="str">
        <x:v>ea</x:v>
      </x:c>
      <x:c r="G60" s="54" t="n">
        <x:v>73</x:v>
      </x:c>
      <x:c r="H60" s="54" t="n">
        <x:v>22</x:v>
      </x:c>
      <x:c r="I60" s="52" t="n">
        <x:v>372.59</x:v>
      </x:c>
      <x:c r="J60" s="50" t="str">
        <x:v>REDGATE SUPPLY</x:v>
      </x:c>
      <x:c r="K60" s="50" t="str">
        <x:v>2026-09-26</x:v>
      </x:c>
      <x:c r="L60" s="50" t="str"/>
    </x:row>
    <x:row r="61" ht="22" customHeight="1">
      <x:c r="A61" s="50" t="str">
        <x:v>IN-0056</x:v>
      </x:c>
      <x:c r="B61" s="50" t="str">
        <x:v>SP-1156</x:v>
      </x:c>
      <x:c r="C61" s="50" t="str">
        <x:v> fan guard  -  standard </x:v>
      </x:c>
      <x:c r="D61" s="50" t="str">
        <x:v>Drives</x:v>
      </x:c>
      <x:c r="E61" s="50" t="str">
        <x:v>WH-B-03-01</x:v>
      </x:c>
      <x:c r="F61" s="50" t="str">
        <x:v>pcs</x:v>
      </x:c>
      <x:c r="G61" s="54" t="str">
        <x:v>TBD</x:v>
      </x:c>
      <x:c r="H61" s="54" t="n">
        <x:v>5</x:v>
      </x:c>
      <x:c r="I61" s="52" t="n">
        <x:v>113.44</x:v>
      </x:c>
      <x:c r="J61" s="50" t="str">
        <x:v>Meridian Ind.</x:v>
      </x:c>
      <x:c r="K61" s="50" t="str">
        <x:v>2026-07-08</x:v>
      </x:c>
      <x:c r="L61" s="50" t="str"/>
    </x:row>
    <x:row r="62" ht="22" customHeight="1">
      <x:c r="A62" s="50" t="str">
        <x:v>IN-0057</x:v>
      </x:c>
      <x:c r="B62" s="50" t="str">
        <x:v>SP-1157</x:v>
      </x:c>
      <x:c r="C62" s="50" t="str">
        <x:v>Brake Resistor - Metric</x:v>
      </x:c>
      <x:c r="D62" s="50" t="str">
        <x:v>Drives</x:v>
      </x:c>
      <x:c r="E62" s="50" t="str">
        <x:v>C2-04</x:v>
      </x:c>
      <x:c r="F62" s="50" t="str">
        <x:v>ea</x:v>
      </x:c>
      <x:c r="G62" s="54" t="n">
        <x:v>35</x:v>
      </x:c>
      <x:c r="H62" s="54" t="n">
        <x:v>11</x:v>
      </x:c>
      <x:c r="I62" s="52" t="n">
        <x:v>359.51</x:v>
      </x:c>
      <x:c r="J62" s="50" t="str">
        <x:v>Canyon Equip.</x:v>
      </x:c>
      <x:c r="K62" s="50" t="str">
        <x:v>2026-09-26</x:v>
      </x:c>
      <x:c r="L62" s="50" t="str"/>
    </x:row>
    <x:row r="63" ht="22" customHeight="1">
      <x:c r="A63" s="50" t="str">
        <x:v>IN-0058</x:v>
      </x:c>
      <x:c r="B63" s="50" t="str">
        <x:v>sp-1158</x:v>
      </x:c>
      <x:c r="C63" s="50" t="str">
        <x:v>Drive Key - Series 2</x:v>
      </x:c>
      <x:c r="D63" s="50" t="str">
        <x:v>Motors &amp; Drives</x:v>
      </x:c>
      <x:c r="E63" s="50" t="str">
        <x:v>B4-05</x:v>
      </x:c>
      <x:c r="F63" s="50" t="str">
        <x:v>EA</x:v>
      </x:c>
      <x:c r="G63" s="54" t="n">
        <x:v>32</x:v>
      </x:c>
      <x:c r="H63" s="54" t="n">
        <x:v>19</x:v>
      </x:c>
      <x:c r="I63" s="52" t="n">
        <x:v>388.86</x:v>
      </x:c>
      <x:c r="J63" s="50" t="str">
        <x:v>Meridian Industrial</x:v>
      </x:c>
      <x:c r="K63" s="50" t="str">
        <x:v>2026-07-07</x:v>
      </x:c>
      <x:c r="L63" s="50" t="str"/>
    </x:row>
    <x:row r="64" ht="22" customHeight="1">
      <x:c r="A64" s="50" t="str">
        <x:v>IN-0059</x:v>
      </x:c>
      <x:c r="B64" s="50" t="str">
        <x:v>SP-1159</x:v>
      </x:c>
      <x:c r="C64" s="50" t="str">
        <x:v>Motor Capacitor - Heavy Duty</x:v>
      </x:c>
      <x:c r="D64" s="50" t="str">
        <x:v>Motors &amp; Drives</x:v>
      </x:c>
      <x:c r="E64" s="50" t="str">
        <x:v>A4-05</x:v>
      </x:c>
      <x:c r="F64" s="50" t="str">
        <x:v>pcs</x:v>
      </x:c>
      <x:c r="G64" s="54" t="n">
        <x:v>74</x:v>
      </x:c>
      <x:c r="H64" s="54" t="n">
        <x:v>9</x:v>
      </x:c>
      <x:c r="I64" s="52" t="n">
        <x:v>16.64</x:v>
      </x:c>
      <x:c r="J64" s="50" t="str">
        <x:v>REDGATE SUPPLY</x:v>
      </x:c>
      <x:c r="K64" s="50" t="str">
        <x:v>2026-08-26</x:v>
      </x:c>
      <x:c r="L64" s="50" t="str"/>
    </x:row>
    <x:row r="65" ht="22" customHeight="1">
      <x:c r="A65" s="50" t="str">
        <x:v>IN-0060</x:v>
      </x:c>
      <x:c r="B65" s="50" t="str">
        <x:v>SP-1160</x:v>
      </x:c>
      <x:c r="C65" s="50" t="str">
        <x:v>Fan Impeller - Series 2</x:v>
      </x:c>
      <x:c r="D65" s="50" t="str">
        <x:v>Motors &amp; Drives</x:v>
      </x:c>
      <x:c r="E65" s="50" t="str">
        <x:v>WH-C-04-03</x:v>
      </x:c>
      <x:c r="F65" s="50" t="str">
        <x:v>pcs</x:v>
      </x:c>
      <x:c r="G65" s="54" t="n">
        <x:v>40</x:v>
      </x:c>
      <x:c r="H65" s="54" t="n">
        <x:v>19</x:v>
      </x:c>
      <x:c r="I65" s="52" t="n">
        <x:v>158.32</x:v>
      </x:c>
      <x:c r="J65" s="50" t="str">
        <x:v>REDGATE SUPPLY</x:v>
      </x:c>
      <x:c r="K65" s="50" t="str">
        <x:v>2026-09-27</x:v>
      </x:c>
      <x:c r="L65" s="50" t="str"/>
    </x:row>
    <x:row r="66" ht="22" customHeight="1">
      <x:c r="A66" s="50" t="str">
        <x:v>IN-0061</x:v>
      </x:c>
      <x:c r="B66" s="50" t="str">
        <x:v>SP-1161</x:v>
      </x:c>
      <x:c r="C66" s="50" t="str">
        <x:v>Air Filter Regulator - Metric</x:v>
      </x:c>
      <x:c r="D66" s="50" t="str">
        <x:v>Pneumatics</x:v>
      </x:c>
      <x:c r="E66" s="50" t="str">
        <x:v>WH-C-02-02</x:v>
      </x:c>
      <x:c r="F66" s="50" t="str">
        <x:v>EA</x:v>
      </x:c>
      <x:c r="G66" s="54" t="n">
        <x:v>60</x:v>
      </x:c>
      <x:c r="H66" s="54" t="n">
        <x:v>17</x:v>
      </x:c>
      <x:c r="I66" s="52" t="n">
        <x:v>242.17</x:v>
      </x:c>
      <x:c r="J66" s="50" t="str">
        <x:v>Redgate Supply</x:v>
      </x:c>
      <x:c r="K66" s="50" t="str">
        <x:v>2026-08-03</x:v>
      </x:c>
      <x:c r="L66" s="50" t="str"/>
    </x:row>
    <x:row r="67" ht="22" customHeight="1">
      <x:c r="A67" s="50" t="str">
        <x:v>IN-0062</x:v>
      </x:c>
      <x:c r="B67" s="50" t="str">
        <x:v>sp-1162</x:v>
      </x:c>
      <x:c r="C67" s="50" t="str">
        <x:v>Pneumatic Cylinder - Type B</x:v>
      </x:c>
      <x:c r="D67" s="50" t="str">
        <x:v>AIR SYS</x:v>
      </x:c>
      <x:c r="E67" s="50" t="str">
        <x:v>C3-01</x:v>
      </x:c>
      <x:c r="F67" s="50" t="str">
        <x:v>ea</x:v>
      </x:c>
      <x:c r="G67" s="54" t="n">
        <x:v>63</x:v>
      </x:c>
      <x:c r="H67" s="54" t="n">
        <x:v>15</x:v>
      </x:c>
      <x:c r="I67" s="52" t="n">
        <x:v>264.59</x:v>
      </x:c>
      <x:c r="J67" s="50" t="str">
        <x:v>Meridian Industrial</x:v>
      </x:c>
      <x:c r="K67" s="50" t="str">
        <x:v>2026-07-11</x:v>
      </x:c>
      <x:c r="L67" s="50" t="str"/>
    </x:row>
    <x:row r="68" ht="22" customHeight="1">
      <x:c r="A68" s="50" t="str">
        <x:v>IN-0063</x:v>
      </x:c>
      <x:c r="B68" s="50" t="str">
        <x:v>SP-1163</x:v>
      </x:c>
      <x:c r="C68" s="50" t="str">
        <x:v>Solenoid Valve - Metric</x:v>
      </x:c>
      <x:c r="D68" s="50" t="str">
        <x:v>Pneumatics</x:v>
      </x:c>
      <x:c r="E68" s="50" t="str">
        <x:v>WH-A-01-03</x:v>
      </x:c>
      <x:c r="F68" s="50" t="str">
        <x:v>pair</x:v>
      </x:c>
      <x:c r="G68" s="54" t="n">
        <x:v>52</x:v>
      </x:c>
      <x:c r="H68" s="54" t="str">
        <x:v>N/A</x:v>
      </x:c>
      <x:c r="I68" s="52" t="n">
        <x:v>132.55</x:v>
      </x:c>
      <x:c r="J68" s="50" t="str">
        <x:v>REDGATE SUPPLY</x:v>
      </x:c>
      <x:c r="K68" s="50" t="str">
        <x:v>2026-09-27</x:v>
      </x:c>
      <x:c r="L68" s="50" t="str"/>
    </x:row>
    <x:row r="69" ht="22" customHeight="1">
      <x:c r="A69" s="50" t="str">
        <x:v>IN-0064</x:v>
      </x:c>
      <x:c r="B69" s="50" t="str">
        <x:v>sp-1164</x:v>
      </x:c>
      <x:c r="C69" s="50" t="str">
        <x:v> push-to-connect fitting  -  type b </x:v>
      </x:c>
      <x:c r="D69" s="50" t="str">
        <x:v>Pneumatic</x:v>
      </x:c>
      <x:c r="E69" s="50" t="str">
        <x:v>WH-A-02-01</x:v>
      </x:c>
      <x:c r="F69" s="50" t="str">
        <x:v>box</x:v>
      </x:c>
      <x:c r="G69" s="54" t="n">
        <x:v>58</x:v>
      </x:c>
      <x:c r="H69" s="54" t="n">
        <x:v>17</x:v>
      </x:c>
      <x:c r="I69" s="52" t="n">
        <x:v>109.22</x:v>
      </x:c>
      <x:c r="J69" s="50" t="str">
        <x:v>NORTH FORGE PARTS</x:v>
      </x:c>
      <x:c r="K69" s="50" t="str">
        <x:v>2026-09-18</x:v>
      </x:c>
      <x:c r="L69" s="50" t="str"/>
    </x:row>
    <x:row r="70" ht="22" customHeight="1">
      <x:c r="A70" s="50" t="str">
        <x:v>IN-0065</x:v>
      </x:c>
      <x:c r="B70" s="50" t="str">
        <x:v>SP 1165</x:v>
      </x:c>
      <x:c r="C70" s="50" t="str">
        <x:v>Air Tubing Roll - Heavy Duty</x:v>
      </x:c>
      <x:c r="D70" s="50" t="str">
        <x:v>Pneumatic</x:v>
      </x:c>
      <x:c r="E70" s="50" t="str">
        <x:v>wh-d-03-02</x:v>
      </x:c>
      <x:c r="F70" s="50" t="str">
        <x:v>pcs</x:v>
      </x:c>
      <x:c r="G70" s="54" t="n">
        <x:v>6</x:v>
      </x:c>
      <x:c r="H70" s="54" t="n">
        <x:v>20</x:v>
      </x:c>
      <x:c r="I70" s="52" t="n">
        <x:v>353.76</x:v>
      </x:c>
      <x:c r="J70" s="50" t="str">
        <x:v>Redgate Supply</x:v>
      </x:c>
      <x:c r="K70" s="50" t="str">
        <x:v>09/24/2026</x:v>
      </x:c>
      <x:c r="L70" s="50" t="str"/>
    </x:row>
    <x:row r="71" ht="22" customHeight="1">
      <x:c r="A71" s="50" t="str">
        <x:v>IN-0066</x:v>
      </x:c>
      <x:c r="B71" s="50" t="str">
        <x:v>SP-1166</x:v>
      </x:c>
      <x:c r="C71" s="50" t="str">
        <x:v>Silencer Muffler - Series 2</x:v>
      </x:c>
      <x:c r="D71" s="50" t="str">
        <x:v>Pneumatic</x:v>
      </x:c>
      <x:c r="E71" s="50" t="str">
        <x:v>wh-d-01-04</x:v>
      </x:c>
      <x:c r="F71" s="50" t="str">
        <x:v>ft</x:v>
      </x:c>
      <x:c r="G71" s="54" t="n">
        <x:v>78</x:v>
      </x:c>
      <x:c r="H71" s="54" t="n">
        <x:v>4</x:v>
      </x:c>
      <x:c r="I71" s="52" t="n">
        <x:v>316.18</x:v>
      </x:c>
      <x:c r="J71" s="50" t="str">
        <x:v>Meridian Industrial</x:v>
      </x:c>
      <x:c r="K71" s="50" t="str">
        <x:v>2026-09-09</x:v>
      </x:c>
      <x:c r="L71" s="50" t="str"/>
    </x:row>
    <x:row r="72" ht="22" customHeight="1">
      <x:c r="A72" s="50" t="str">
        <x:v>IN-0067</x:v>
      </x:c>
      <x:c r="B72" s="50" t="str">
        <x:v>MISSING</x:v>
      </x:c>
      <x:c r="C72" s="50" t="str">
        <x:v>Pressure Switch - Standard</x:v>
      </x:c>
      <x:c r="D72" s="50" t="str">
        <x:v>Pneumatic</x:v>
      </x:c>
      <x:c r="E72" s="50" t="str">
        <x:v>WH-B-01-03</x:v>
      </x:c>
      <x:c r="F72" s="50" t="str">
        <x:v>EA</x:v>
      </x:c>
      <x:c r="G72" s="54" t="n">
        <x:v>14</x:v>
      </x:c>
      <x:c r="H72" s="54" t="n">
        <x:v>20</x:v>
      </x:c>
      <x:c r="I72" s="52" t="n">
        <x:v>353.39</x:v>
      </x:c>
      <x:c r="J72" s="50" t="str">
        <x:v>CANYON EQUIPMENT</x:v>
      </x:c>
      <x:c r="K72" s="50" t="str">
        <x:v>2026-09-19</x:v>
      </x:c>
      <x:c r="L72" s="50" t="str"/>
    </x:row>
    <x:row r="73" ht="22" customHeight="1">
      <x:c r="A73" s="50" t="str">
        <x:v>IN-0068</x:v>
      </x:c>
      <x:c r="B73" s="50" t="str">
        <x:v>SP-1168</x:v>
      </x:c>
      <x:c r="C73" s="50" t="str">
        <x:v>Flow Restrictor - Standard</x:v>
      </x:c>
      <x:c r="D73" s="50" t="str">
        <x:v>AIR SYS</x:v>
      </x:c>
      <x:c r="E73" s="50" t="str">
        <x:v>wh-b-03-04</x:v>
      </x:c>
      <x:c r="F73" s="50" t="str">
        <x:v>pcs</x:v>
      </x:c>
      <x:c r="G73" s="54" t="n">
        <x:v>44</x:v>
      </x:c>
      <x:c r="H73" s="54" t="n">
        <x:v>15</x:v>
      </x:c>
      <x:c r="I73" s="52" t="n">
        <x:v>44.11</x:v>
      </x:c>
      <x:c r="J73" s="50" t="str">
        <x:v>CANYON EQUIPMENT</x:v>
      </x:c>
      <x:c r="K73" s="50" t="str">
        <x:v>2026-09-19</x:v>
      </x:c>
      <x:c r="L73" s="50" t="str"/>
    </x:row>
    <x:row r="74" ht="22" customHeight="1">
      <x:c r="A74" s="50" t="str">
        <x:v>IN-0069</x:v>
      </x:c>
      <x:c r="B74" s="50" t="str">
        <x:v>SP-1169</x:v>
      </x:c>
      <x:c r="C74" s="50" t="str">
        <x:v>Air Manifold - Heavy Duty</x:v>
      </x:c>
      <x:c r="D74" s="50" t="str">
        <x:v>AIR SYS</x:v>
      </x:c>
      <x:c r="E74" s="50" t="str">
        <x:v>D4-01</x:v>
      </x:c>
      <x:c r="F74" s="50" t="str">
        <x:v>ea</x:v>
      </x:c>
      <x:c r="G74" s="54" t="n">
        <x:v>36</x:v>
      </x:c>
      <x:c r="H74" s="54" t="n">
        <x:v>19</x:v>
      </x:c>
      <x:c r="I74" s="52" t="n">
        <x:v>95.47</x:v>
      </x:c>
      <x:c r="J74" s="50" t="str">
        <x:v>Redgate</x:v>
      </x:c>
      <x:c r="K74" s="50" t="str">
        <x:v>2026-07-20</x:v>
      </x:c>
      <x:c r="L74" s="50" t="str"/>
    </x:row>
    <x:row r="75" ht="22" customHeight="1">
      <x:c r="A75" s="50" t="str">
        <x:v>IN-0070</x:v>
      </x:c>
      <x:c r="B75" s="50" t="str">
        <x:v>SP-1170</x:v>
      </x:c>
      <x:c r="C75" s="50" t="str">
        <x:v>Quick Exhaust Valve - Metric</x:v>
      </x:c>
      <x:c r="D75" s="50" t="str">
        <x:v>Pneumatic</x:v>
      </x:c>
      <x:c r="E75" s="50" t="str">
        <x:v>wh-c-01-04</x:v>
      </x:c>
      <x:c r="F75" s="50" t="str">
        <x:v>pcs</x:v>
      </x:c>
      <x:c r="G75" s="54" t="n">
        <x:v>55</x:v>
      </x:c>
      <x:c r="H75" s="54" t="n">
        <x:v>8</x:v>
      </x:c>
      <x:c r="I75" s="52" t="n">
        <x:v>300.66</x:v>
      </x:c>
      <x:c r="J75" s="50" t="str">
        <x:v>Meridian Industrial</x:v>
      </x:c>
      <x:c r="K75" s="50" t="str">
        <x:v>2026-09-24</x:v>
      </x:c>
      <x:c r="L75" s="50" t="str"/>
    </x:row>
    <x:row r="76" ht="22" customHeight="1">
      <x:c r="A76" s="50" t="str">
        <x:v>IN-0071</x:v>
      </x:c>
      <x:c r="B76" s="50" t="str">
        <x:v>SP1171</x:v>
      </x:c>
      <x:c r="C76" s="50" t="str">
        <x:v>Vacuum Cup - Series 2</x:v>
      </x:c>
      <x:c r="D76" s="50" t="str">
        <x:v>Pneumatics</x:v>
      </x:c>
      <x:c r="E76" s="50" t="str">
        <x:v>C1-03</x:v>
      </x:c>
      <x:c r="F76" s="50" t="str">
        <x:v>BOX</x:v>
      </x:c>
      <x:c r="G76" s="54" t="n">
        <x:v>4</x:v>
      </x:c>
      <x:c r="H76" s="54" t="n">
        <x:v>5</x:v>
      </x:c>
      <x:c r="I76" s="52" t="n">
        <x:v>258.43</x:v>
      </x:c>
      <x:c r="J76" s="50" t="str">
        <x:v>Meridian Industrial</x:v>
      </x:c>
      <x:c r="K76" s="50" t="str">
        <x:v>2026-07-20</x:v>
      </x:c>
      <x:c r="L76" s="50" t="str"/>
    </x:row>
    <x:row r="77" ht="22" customHeight="1">
      <x:c r="A77" s="50" t="str">
        <x:v>IN-0072</x:v>
      </x:c>
      <x:c r="B77" s="50" t="str">
        <x:v>sp-1172</x:v>
      </x:c>
      <x:c r="C77" s="50" t="str">
        <x:v> air hose reel  -  standard </x:v>
      </x:c>
      <x:c r="D77" s="50" t="str">
        <x:v>Pneumatic</x:v>
      </x:c>
      <x:c r="E77" s="50" t="str">
        <x:v>WH-A-01-05</x:v>
      </x:c>
      <x:c r="F77" s="50" t="str">
        <x:v>pair</x:v>
      </x:c>
      <x:c r="G77" s="54" t="n">
        <x:v>45</x:v>
      </x:c>
      <x:c r="H77" s="54" t="n">
        <x:v>9</x:v>
      </x:c>
      <x:c r="I77" s="52" t="n">
        <x:v>215.69</x:v>
      </x:c>
      <x:c r="J77" s="50" t="str">
        <x:v>MERIDIAN INDUSTRIAL</x:v>
      </x:c>
      <x:c r="K77" s="50" t="str">
        <x:v>2026-07-20</x:v>
      </x:c>
      <x:c r="L77" s="50" t="str"/>
    </x:row>
    <x:row r="78" ht="22" customHeight="1">
      <x:c r="A78" s="50" t="str">
        <x:v>IN-0073</x:v>
      </x:c>
      <x:c r="B78" s="50" t="str">
        <x:v>sp-1173</x:v>
      </x:c>
      <x:c r="C78" s="50" t="str">
        <x:v>Hex Head Bolt - Series 2</x:v>
      </x:c>
      <x:c r="D78" s="50" t="str">
        <x:v>Hardware</x:v>
      </x:c>
      <x:c r="E78" s="50" t="str">
        <x:v>wh-b-02-03</x:v>
      </x:c>
      <x:c r="F78" s="50" t="str">
        <x:v>PAIR</x:v>
      </x:c>
      <x:c r="G78" s="54" t="str"/>
      <x:c r="H78" s="54" t="n">
        <x:v>13</x:v>
      </x:c>
      <x:c r="I78" s="52" t="n">
        <x:v>317.45</x:v>
      </x:c>
      <x:c r="J78" s="50" t="str">
        <x:v>North Forge Parts</x:v>
      </x:c>
      <x:c r="K78" s="50" t="str">
        <x:v>2026-07-30</x:v>
      </x:c>
      <x:c r="L78" s="50" t="str"/>
    </x:row>
    <x:row r="79" ht="22" customHeight="1">
      <x:c r="A79" s="50" t="str">
        <x:v>IN-0074</x:v>
      </x:c>
      <x:c r="B79" s="50" t="str">
        <x:v>SP-1174</x:v>
      </x:c>
      <x:c r="C79" s="50" t="str">
        <x:v>Flat Washer - Type B</x:v>
      </x:c>
      <x:c r="D79" s="50" t="str">
        <x:v>Hardware</x:v>
      </x:c>
      <x:c r="E79" s="50" t="str">
        <x:v>wh-b-02-03</x:v>
      </x:c>
      <x:c r="F79" s="50" t="str">
        <x:v>box</x:v>
      </x:c>
      <x:c r="G79" s="54" t="n">
        <x:v>60</x:v>
      </x:c>
      <x:c r="H79" s="54" t="n">
        <x:v>12</x:v>
      </x:c>
      <x:c r="I79" s="52" t="n">
        <x:v>316.9</x:v>
      </x:c>
      <x:c r="J79" s="50" t="str">
        <x:v>NORTH FORGE PARTS</x:v>
      </x:c>
      <x:c r="K79" s="50" t="str">
        <x:v>2026-08-16</x:v>
      </x:c>
      <x:c r="L79" s="50" t="str"/>
    </x:row>
    <x:row r="80" ht="22" customHeight="1">
      <x:c r="A80" s="50" t="str">
        <x:v>IN-0075</x:v>
      </x:c>
      <x:c r="B80" s="50" t="str">
        <x:v>sp-1175</x:v>
      </x:c>
      <x:c r="C80" s="50" t="str">
        <x:v>Socket Head Cap Screw - Heavy Duty</x:v>
      </x:c>
      <x:c r="D80" s="50" t="str">
        <x:v>Hardware</x:v>
      </x:c>
      <x:c r="E80" s="50" t="str">
        <x:v>WH-B-01-03</x:v>
      </x:c>
      <x:c r="F80" s="50" t="str">
        <x:v>BOX</x:v>
      </x:c>
      <x:c r="G80" s="54" t="n">
        <x:v>51</x:v>
      </x:c>
      <x:c r="H80" s="54" t="n">
        <x:v>20</x:v>
      </x:c>
      <x:c r="I80" s="52" t="n">
        <x:v>371.85</x:v>
      </x:c>
      <x:c r="J80" s="50" t="str">
        <x:v>MERIDIAN INDUSTRIAL</x:v>
      </x:c>
      <x:c r="K80" s="50" t="str">
        <x:v>2026-07-09</x:v>
      </x:c>
      <x:c r="L80" s="50" t="str"/>
    </x:row>
    <x:row r="81" ht="22" customHeight="1">
      <x:c r="A81" s="50" t="str">
        <x:v>IN-0076</x:v>
      </x:c>
      <x:c r="B81" s="50" t="str">
        <x:v>SP-1176</x:v>
      </x:c>
      <x:c r="C81" s="50" t="str">
        <x:v>Nyloc Nut - Heavy Duty</x:v>
      </x:c>
      <x:c r="D81" s="50" t="str">
        <x:v>Fasteners</x:v>
      </x:c>
      <x:c r="E81" s="50" t="str">
        <x:v>WH-C-02-03</x:v>
      </x:c>
      <x:c r="F81" s="50" t="str">
        <x:v>EA</x:v>
      </x:c>
      <x:c r="G81" s="54" t="n">
        <x:v>61</x:v>
      </x:c>
      <x:c r="H81" s="54" t="n">
        <x:v>11</x:v>
      </x:c>
      <x:c r="I81" s="52" t="n">
        <x:v>322.64</x:v>
      </x:c>
      <x:c r="J81" s="50" t="str">
        <x:v>Canyon Equip.</x:v>
      </x:c>
      <x:c r="K81" s="50" t="str">
        <x:v>2026-09-03</x:v>
      </x:c>
      <x:c r="L81" s="50" t="str"/>
    </x:row>
    <x:row r="82" ht="22" customHeight="1">
      <x:c r="A82" s="50" t="str">
        <x:v>IN-0077</x:v>
      </x:c>
      <x:c r="B82" s="50" t="str">
        <x:v>SP-1177</x:v>
      </x:c>
      <x:c r="C82" s="50" t="str">
        <x:v>Spring Washer - Standard</x:v>
      </x:c>
      <x:c r="D82" s="50" t="str">
        <x:v>Fasteners &amp; Hardware</x:v>
      </x:c>
      <x:c r="E82" s="50" t="str">
        <x:v>WH-D-03-05</x:v>
      </x:c>
      <x:c r="F82" s="50" t="str">
        <x:v>ft</x:v>
      </x:c>
      <x:c r="G82" s="54" t="n">
        <x:v>5</x:v>
      </x:c>
      <x:c r="H82" s="54" t="n">
        <x:v>19</x:v>
      </x:c>
      <x:c r="I82" s="52" t="n">
        <x:v>23.26</x:v>
      </x:c>
      <x:c r="J82" s="50" t="str">
        <x:v>CANYON EQUIPMENT</x:v>
      </x:c>
      <x:c r="K82" s="50" t="str">
        <x:v>2026-09-28</x:v>
      </x:c>
      <x:c r="L82" s="50" t="str"/>
    </x:row>
    <x:row r="83" ht="22" customHeight="1">
      <x:c r="A83" s="50" t="str">
        <x:v>IN-0078</x:v>
      </x:c>
      <x:c r="B83" s="50" t="str">
        <x:v>SP 1178</x:v>
      </x:c>
      <x:c r="C83" s="50" t="str">
        <x:v>Threaded Rod - Metric</x:v>
      </x:c>
      <x:c r="D83" s="50" t="str">
        <x:v>Fasteners &amp; Hardware</x:v>
      </x:c>
      <x:c r="E83" s="50" t="str">
        <x:v>C3-01</x:v>
      </x:c>
      <x:c r="F83" s="50" t="str">
        <x:v>each</x:v>
      </x:c>
      <x:c r="G83" s="54" t="n">
        <x:v>0</x:v>
      </x:c>
      <x:c r="H83" s="54" t="n">
        <x:v>14</x:v>
      </x:c>
      <x:c r="I83" s="52" t="n">
        <x:v>187.81</x:v>
      </x:c>
      <x:c r="J83" s="50" t="str">
        <x:v>Redgate</x:v>
      </x:c>
      <x:c r="K83" s="50" t="str">
        <x:v>08/08/2026</x:v>
      </x:c>
      <x:c r="L83" s="50" t="str"/>
    </x:row>
    <x:row r="84" ht="22" customHeight="1">
      <x:c r="A84" s="50" t="str">
        <x:v>IN-0079</x:v>
      </x:c>
      <x:c r="B84" s="50" t="str">
        <x:v>SP-1179</x:v>
      </x:c>
      <x:c r="C84" s="50" t="str">
        <x:v>Roll Pin - Type B</x:v>
      </x:c>
      <x:c r="D84" s="50" t="str">
        <x:v>Fasteners</x:v>
      </x:c>
      <x:c r="E84" s="50" t="str">
        <x:v>B4-02</x:v>
      </x:c>
      <x:c r="F84" s="50" t="str">
        <x:v>ea</x:v>
      </x:c>
      <x:c r="G84" s="54" t="n">
        <x:v>37</x:v>
      </x:c>
      <x:c r="H84" s="54" t="str">
        <x:v>-1</x:v>
      </x:c>
      <x:c r="I84" s="52" t="n">
        <x:v>249.11</x:v>
      </x:c>
      <x:c r="J84" s="50" t="str">
        <x:v>Meridian Ind.</x:v>
      </x:c>
      <x:c r="K84" s="50" t="str">
        <x:v>2026-09-09</x:v>
      </x:c>
      <x:c r="L84" s="50" t="str"/>
    </x:row>
    <x:row r="85" ht="22" customHeight="1">
      <x:c r="A85" s="50" t="str">
        <x:v>IN-0080</x:v>
      </x:c>
      <x:c r="B85" s="50" t="str">
        <x:v>SP-1180</x:v>
      </x:c>
      <x:c r="C85" s="50" t="str">
        <x:v> lock washer  -  metric </x:v>
      </x:c>
      <x:c r="D85" s="50" t="str">
        <x:v>Fasteners</x:v>
      </x:c>
      <x:c r="E85" s="50" t="str">
        <x:v>wh-a-02-03</x:v>
      </x:c>
      <x:c r="F85" s="50" t="str">
        <x:v>ea</x:v>
      </x:c>
      <x:c r="G85" s="54" t="n">
        <x:v>1</x:v>
      </x:c>
      <x:c r="H85" s="54" t="n">
        <x:v>22</x:v>
      </x:c>
      <x:c r="I85" s="52" t="n">
        <x:v>342.64</x:v>
      </x:c>
      <x:c r="J85" s="50" t="str">
        <x:v>Meridian Ind.</x:v>
      </x:c>
      <x:c r="K85" s="50" t="str">
        <x:v>2026-07-17</x:v>
      </x:c>
      <x:c r="L85" s="50" t="str"/>
    </x:row>
    <x:row r="86" ht="22" customHeight="1">
      <x:c r="A86" s="50" t="str">
        <x:v>IN-0081</x:v>
      </x:c>
      <x:c r="B86" s="50" t="str">
        <x:v>SP-1181</x:v>
      </x:c>
      <x:c r="C86" s="50" t="str">
        <x:v>Clevis Pin - Heavy Duty</x:v>
      </x:c>
      <x:c r="D86" s="50" t="str">
        <x:v>Fasteners</x:v>
      </x:c>
      <x:c r="E86" s="50" t="str">
        <x:v>wh-a-01-01</x:v>
      </x:c>
      <x:c r="F86" s="50" t="str">
        <x:v>BOX</x:v>
      </x:c>
      <x:c r="G86" s="54" t="n">
        <x:v>1</x:v>
      </x:c>
      <x:c r="H86" s="54" t="n">
        <x:v>17</x:v>
      </x:c>
      <x:c r="I86" s="52" t="n">
        <x:v>193.54</x:v>
      </x:c>
      <x:c r="J86" s="50" t="str">
        <x:v>TBD vendor</x:v>
      </x:c>
      <x:c r="K86" s="50" t="str">
        <x:v>2026-08-07</x:v>
      </x:c>
      <x:c r="L86" s="50" t="str"/>
    </x:row>
    <x:row r="87" ht="22" customHeight="1">
      <x:c r="A87" s="50" t="str">
        <x:v>IN-0082</x:v>
      </x:c>
      <x:c r="B87" s="50" t="str">
        <x:v>SP-1182</x:v>
      </x:c>
      <x:c r="C87" s="50" t="str">
        <x:v>Hose Clamp - Standard</x:v>
      </x:c>
      <x:c r="D87" s="50" t="str">
        <x:v>Fasteners &amp; Hardware</x:v>
      </x:c>
      <x:c r="E87" s="50" t="str">
        <x:v>WH-B-01-02</x:v>
      </x:c>
      <x:c r="F87" s="50" t="str">
        <x:v>box</x:v>
      </x:c>
      <x:c r="G87" s="54" t="n">
        <x:v>18</x:v>
      </x:c>
      <x:c r="H87" s="54" t="n">
        <x:v>20</x:v>
      </x:c>
      <x:c r="I87" s="52" t="n">
        <x:v>92.3</x:v>
      </x:c>
      <x:c r="J87" s="50" t="str">
        <x:v>Redgate Supply</x:v>
      </x:c>
      <x:c r="K87" s="50" t="str">
        <x:v>2026-09-24</x:v>
      </x:c>
      <x:c r="L87" s="50" t="str"/>
    </x:row>
    <x:row r="88" ht="22" customHeight="1">
      <x:c r="A88" s="50" t="str">
        <x:v>IN-0083</x:v>
      </x:c>
      <x:c r="B88" s="50" t="str">
        <x:v>SP-1183</x:v>
      </x:c>
      <x:c r="C88" s="50" t="str">
        <x:v>Split Pin - Standard</x:v>
      </x:c>
      <x:c r="D88" s="50" t="str">
        <x:v>Fasteners</x:v>
      </x:c>
      <x:c r="E88" s="50" t="str">
        <x:v>wh-d-02-03</x:v>
      </x:c>
      <x:c r="F88" s="50" t="str">
        <x:v>pair</x:v>
      </x:c>
      <x:c r="G88" s="54" t="n">
        <x:v>77</x:v>
      </x:c>
      <x:c r="H88" s="54" t="n">
        <x:v>12</x:v>
      </x:c>
      <x:c r="I88" s="52" t="str"/>
      <x:c r="J88" s="50" t="str">
        <x:v>North Forge Parts</x:v>
      </x:c>
      <x:c r="K88" s="50" t="str">
        <x:v>2026-09-02</x:v>
      </x:c>
      <x:c r="L88" s="50" t="str"/>
    </x:row>
    <x:row r="89" ht="22" customHeight="1">
      <x:c r="A89" s="50" t="str">
        <x:v>IN-0084</x:v>
      </x:c>
      <x:c r="B89" s="50" t="str">
        <x:v>SP-1184</x:v>
      </x:c>
      <x:c r="C89" s="50" t="str">
        <x:v>Retaining Ring - Series 2</x:v>
      </x:c>
      <x:c r="D89" s="50" t="str">
        <x:v>Fasteners &amp; Hardware</x:v>
      </x:c>
      <x:c r="E89" s="50" t="str">
        <x:v>B4-05</x:v>
      </x:c>
      <x:c r="F89" s="50" t="str">
        <x:v>PACK</x:v>
      </x:c>
      <x:c r="G89" s="54" t="n">
        <x:v>53</x:v>
      </x:c>
      <x:c r="H89" s="54" t="n">
        <x:v>22</x:v>
      </x:c>
      <x:c r="I89" s="52" t="n">
        <x:v>132.86</x:v>
      </x:c>
      <x:c r="J89" s="50" t="str">
        <x:v>Redgate Supply</x:v>
      </x:c>
      <x:c r="K89" s="50" t="str">
        <x:v>2026-07-25</x:v>
      </x:c>
      <x:c r="L89" s="50" t="str"/>
    </x:row>
    <x:row r="90" ht="22" customHeight="1">
      <x:c r="A90" s="50" t="str">
        <x:v>IN-0085</x:v>
      </x:c>
      <x:c r="B90" s="50" t="str">
        <x:v>SP-1185</x:v>
      </x:c>
      <x:c r="C90" s="50" t="str">
        <x:v>Air Intake Filter - Type B</x:v>
      </x:c>
      <x:c r="D90" s="50" t="str">
        <x:v>Filters</x:v>
      </x:c>
      <x:c r="E90" s="50" t="str">
        <x:v>C1-05</x:v>
      </x:c>
      <x:c r="F90" s="50" t="str">
        <x:v>ft</x:v>
      </x:c>
      <x:c r="G90" s="54" t="n">
        <x:v>42</x:v>
      </x:c>
      <x:c r="H90" s="54" t="n">
        <x:v>10</x:v>
      </x:c>
      <x:c r="I90" s="52" t="n">
        <x:v>157.69</x:v>
      </x:c>
      <x:c r="J90" s="50" t="str">
        <x:v>Redgate Supply</x:v>
      </x:c>
      <x:c r="K90" s="50" t="str">
        <x:v>2026-09-04</x:v>
      </x:c>
      <x:c r="L90" s="50" t="str"/>
    </x:row>
    <x:row r="91" ht="22" customHeight="1">
      <x:c r="A91" s="50" t="str">
        <x:v>IN-0086</x:v>
      </x:c>
      <x:c r="B91" s="50" t="str">
        <x:v>SP-1186</x:v>
      </x:c>
      <x:c r="C91" s="50" t="str">
        <x:v>Gearbox Breather - Series 2</x:v>
      </x:c>
      <x:c r="D91" s="50" t="str">
        <x:v>Filters &amp; Fluids</x:v>
      </x:c>
      <x:c r="E91" s="50" t="str">
        <x:v>WH-B-03-04</x:v>
      </x:c>
      <x:c r="F91" s="50" t="str">
        <x:v>box</x:v>
      </x:c>
      <x:c r="G91" s="54" t="n">
        <x:v>75</x:v>
      </x:c>
      <x:c r="H91" s="54" t="n">
        <x:v>6</x:v>
      </x:c>
      <x:c r="I91" s="52" t="n">
        <x:v>380.31</x:v>
      </x:c>
      <x:c r="J91" s="50" t="str">
        <x:v>REDGATE SUPPLY</x:v>
      </x:c>
      <x:c r="K91" s="50" t="str">
        <x:v>2026-07-30</x:v>
      </x:c>
      <x:c r="L91" s="50" t="str"/>
    </x:row>
    <x:row r="92" ht="22" customHeight="1">
      <x:c r="A92" s="50" t="str">
        <x:v>IN-0087</x:v>
      </x:c>
      <x:c r="B92" s="50" t="str">
        <x:v>SP-1187</x:v>
      </x:c>
      <x:c r="C92" s="50" t="str">
        <x:v>Oil Filter Element - Standard</x:v>
      </x:c>
      <x:c r="D92" s="50" t="str">
        <x:v>Lube &amp; Filters</x:v>
      </x:c>
      <x:c r="E92" s="50" t="str">
        <x:v>wh-c-01-03</x:v>
      </x:c>
      <x:c r="F92" s="50" t="str">
        <x:v>each</x:v>
      </x:c>
      <x:c r="G92" s="54" t="n">
        <x:v>87</x:v>
      </x:c>
      <x:c r="H92" s="54" t="n">
        <x:v>10</x:v>
      </x:c>
      <x:c r="I92" s="52" t="n">
        <x:v>23.91</x:v>
      </x:c>
      <x:c r="J92" s="50" t="str">
        <x:v>Meridian Industrial</x:v>
      </x:c>
      <x:c r="K92" s="50" t="str">
        <x:v>2026-07-15</x:v>
      </x:c>
      <x:c r="L92" s="50" t="str"/>
    </x:row>
    <x:row r="93" ht="22" customHeight="1">
      <x:c r="A93" s="50" t="str">
        <x:v>IN-0088</x:v>
      </x:c>
      <x:c r="B93" s="50" t="str">
        <x:v>SP-1188</x:v>
      </x:c>
      <x:c r="C93" s="50" t="str">
        <x:v> coolant strainer  -  series 2 </x:v>
      </x:c>
      <x:c r="D93" s="50" t="str">
        <x:v>Filters &amp; Fluids</x:v>
      </x:c>
      <x:c r="E93" s="50" t="str">
        <x:v>A4-05</x:v>
      </x:c>
      <x:c r="F93" s="50" t="str">
        <x:v>box</x:v>
      </x:c>
      <x:c r="G93" s="54" t="n">
        <x:v>54</x:v>
      </x:c>
      <x:c r="H93" s="54" t="n">
        <x:v>6</x:v>
      </x:c>
      <x:c r="I93" s="52" t="n">
        <x:v>288.53</x:v>
      </x:c>
      <x:c r="J93" s="50" t="str">
        <x:v>Redgate Supply</x:v>
      </x:c>
      <x:c r="K93" s="50" t="str">
        <x:v>2026-09-15</x:v>
      </x:c>
      <x:c r="L93" s="50" t="str"/>
    </x:row>
    <x:row r="94" ht="22" customHeight="1">
      <x:c r="A94" s="50" t="str">
        <x:v>IN-0089</x:v>
      </x:c>
      <x:c r="B94" s="50" t="str">
        <x:v>SP-1189</x:v>
      </x:c>
      <x:c r="C94" s="50" t="str">
        <x:v>Grease Cartridge - Type B</x:v>
      </x:c>
      <x:c r="D94" s="50" t="str">
        <x:v>Filters</x:v>
      </x:c>
      <x:c r="E94" s="50" t="str">
        <x:v>WH-B-03-04</x:v>
      </x:c>
      <x:c r="F94" s="50" t="str">
        <x:v>ft</x:v>
      </x:c>
      <x:c r="G94" s="54" t="n">
        <x:v>-3</x:v>
      </x:c>
      <x:c r="H94" s="54" t="n">
        <x:v>22</x:v>
      </x:c>
      <x:c r="I94" s="52" t="n">
        <x:v>27.16</x:v>
      </x:c>
      <x:c r="J94" s="50" t="str">
        <x:v>Canyon Equipment</x:v>
      </x:c>
      <x:c r="K94" s="50" t="str">
        <x:v>2026-07-31</x:v>
      </x:c>
      <x:c r="L94" s="50" t="str"/>
    </x:row>
    <x:row r="95" ht="22" customHeight="1">
      <x:c r="A95" s="50" t="str">
        <x:v>IN-0090</x:v>
      </x:c>
      <x:c r="B95" s="50" t="str">
        <x:v>SP-1190</x:v>
      </x:c>
      <x:c r="C95" s="50" t="str">
        <x:v>Dust Collector Filter - Standard</x:v>
      </x:c>
      <x:c r="D95" s="50" t="str">
        <x:v>Lube &amp; Filters</x:v>
      </x:c>
      <x:c r="E95" s="50" t="str">
        <x:v>A2-02</x:v>
      </x:c>
      <x:c r="F95" s="50" t="str">
        <x:v>pcs</x:v>
      </x:c>
      <x:c r="G95" s="54" t="n">
        <x:v>40</x:v>
      </x:c>
      <x:c r="H95" s="54" t="n">
        <x:v>19</x:v>
      </x:c>
      <x:c r="I95" s="52" t="n">
        <x:v>316.4</x:v>
      </x:c>
      <x:c r="J95" s="50" t="str">
        <x:v>Canyon Equip.</x:v>
      </x:c>
      <x:c r="K95" s="50" t="str">
        <x:v>2026-07-23</x:v>
      </x:c>
      <x:c r="L95" s="50" t="str"/>
    </x:row>
    <x:row r="96" ht="22" customHeight="1">
      <x:c r="A96" s="50" t="str">
        <x:v>IN-0091</x:v>
      </x:c>
      <x:c r="B96" s="50" t="str">
        <x:v>SP-1191</x:v>
      </x:c>
      <x:c r="C96" s="50" t="str">
        <x:v>Water Separator - Standard</x:v>
      </x:c>
      <x:c r="D96" s="50" t="str">
        <x:v>Filters &amp; Fluids</x:v>
      </x:c>
      <x:c r="E96" s="50" t="str">
        <x:v>wh-d-02-01</x:v>
      </x:c>
      <x:c r="F96" s="50" t="str">
        <x:v>pair</x:v>
      </x:c>
      <x:c r="G96" s="54" t="n">
        <x:v>20</x:v>
      </x:c>
      <x:c r="H96" s="54" t="n">
        <x:v>7</x:v>
      </x:c>
      <x:c r="I96" s="52" t="n">
        <x:v>143.8</x:v>
      </x:c>
      <x:c r="J96" s="50" t="str">
        <x:v>REDGATE SUPPLY</x:v>
      </x:c>
      <x:c r="K96" s="50" t="str">
        <x:v>09/28/2026</x:v>
      </x:c>
      <x:c r="L96" s="50" t="str"/>
    </x:row>
    <x:row r="97" ht="22" customHeight="1">
      <x:c r="A97" s="50" t="str">
        <x:v>IN-0092</x:v>
      </x:c>
      <x:c r="B97" s="50" t="str">
        <x:v>SP-1192</x:v>
      </x:c>
      <x:c r="C97" s="50" t="str">
        <x:v>Pump Strainer - Type B</x:v>
      </x:c>
      <x:c r="D97" s="50" t="str">
        <x:v>Filters</x:v>
      </x:c>
      <x:c r="E97" s="50" t="str">
        <x:v>D3-05</x:v>
      </x:c>
      <x:c r="F97" s="50" t="str">
        <x:v>ea</x:v>
      </x:c>
      <x:c r="G97" s="54" t="n">
        <x:v>86</x:v>
      </x:c>
      <x:c r="H97" s="54" t="n">
        <x:v>15</x:v>
      </x:c>
      <x:c r="I97" s="52" t="n">
        <x:v>351.48</x:v>
      </x:c>
      <x:c r="J97" s="50" t="str">
        <x:v>Meridian Industrial</x:v>
      </x:c>
      <x:c r="K97" s="50" t="str">
        <x:v>2026-13-02</x:v>
      </x:c>
      <x:c r="L97" s="50" t="str"/>
    </x:row>
    <x:row r="98" ht="22" customHeight="1">
      <x:c r="A98" s="50" t="str">
        <x:v>IN-0093</x:v>
      </x:c>
      <x:c r="B98" s="50" t="str">
        <x:v>SP-1193</x:v>
      </x:c>
      <x:c r="C98" s="50" t="str">
        <x:v>Lubricant Bottle - Standard</x:v>
      </x:c>
      <x:c r="D98" s="50" t="str">
        <x:v>Filters &amp; Fluids</x:v>
      </x:c>
      <x:c r="E98" s="50" t="str">
        <x:v>wh-a-01-03</x:v>
      </x:c>
      <x:c r="F98" s="50" t="str">
        <x:v>EA</x:v>
      </x:c>
      <x:c r="G98" s="54" t="n">
        <x:v>53</x:v>
      </x:c>
      <x:c r="H98" s="54" t="n">
        <x:v>20</x:v>
      </x:c>
      <x:c r="I98" s="52" t="n">
        <x:v>154.16</x:v>
      </x:c>
      <x:c r="J98" s="50" t="str">
        <x:v>North Forge Parts</x:v>
      </x:c>
      <x:c r="K98" s="50" t="str">
        <x:v>2026-07-26</x:v>
      </x:c>
      <x:c r="L98" s="50" t="str"/>
    </x:row>
    <x:row r="99" ht="22" customHeight="1">
      <x:c r="A99" s="50" t="str">
        <x:v>IN-0094</x:v>
      </x:c>
      <x:c r="B99" s="50" t="str">
        <x:v>SP-1194</x:v>
      </x:c>
      <x:c r="C99" s="50" t="str">
        <x:v>Compressor Filter - Metric</x:v>
      </x:c>
      <x:c r="D99" s="50" t="str">
        <x:v>Lube &amp; Filters</x:v>
      </x:c>
      <x:c r="E99" s="50" t="str">
        <x:v>WH-C-04-05</x:v>
      </x:c>
      <x:c r="F99" s="50" t="str">
        <x:v>PAIR</x:v>
      </x:c>
      <x:c r="G99" s="54" t="n">
        <x:v>39</x:v>
      </x:c>
      <x:c r="H99" s="54" t="n">
        <x:v>20</x:v>
      </x:c>
      <x:c r="I99" s="52" t="n">
        <x:v>104.93</x:v>
      </x:c>
      <x:c r="J99" s="50" t="str">
        <x:v>Meridian Ind.</x:v>
      </x:c>
      <x:c r="K99" s="50" t="str">
        <x:v>2026-08-20</x:v>
      </x:c>
      <x:c r="L99" s="50" t="str"/>
    </x:row>
    <x:row r="100" ht="22" customHeight="1">
      <x:c r="A100" s="50" t="str">
        <x:v>IN-0095</x:v>
      </x:c>
      <x:c r="B100" s="50" t="str">
        <x:v>sp-1195</x:v>
      </x:c>
      <x:c r="C100" s="50" t="str">
        <x:v>Fuel Filter - Series 2</x:v>
      </x:c>
      <x:c r="D100" s="50" t="str">
        <x:v>Lube &amp; Filters</x:v>
      </x:c>
      <x:c r="E100" s="50" t="str">
        <x:v>WH-A-03-01</x:v>
      </x:c>
      <x:c r="F100" s="50" t="str">
        <x:v>each</x:v>
      </x:c>
      <x:c r="G100" s="54" t="n">
        <x:v>52</x:v>
      </x:c>
      <x:c r="H100" s="54" t="n">
        <x:v>6</x:v>
      </x:c>
      <x:c r="I100" s="52" t="n">
        <x:v>293.91</x:v>
      </x:c>
      <x:c r="J100" s="50" t="str">
        <x:v>Canyon Equip.</x:v>
      </x:c>
      <x:c r="K100" s="50" t="str">
        <x:v>2026-09-11</x:v>
      </x:c>
      <x:c r="L100" s="50" t="str"/>
    </x:row>
    <x:row r="101" ht="22" customHeight="1">
      <x:c r="A101" s="50" t="str">
        <x:v>IN-0096</x:v>
      </x:c>
      <x:c r="B101" s="50" t="str">
        <x:v>SP 1196</x:v>
      </x:c>
      <x:c r="C101" s="50" t="str">
        <x:v> cooling fan filter  -  standard </x:v>
      </x:c>
      <x:c r="D101" s="50" t="str">
        <x:v>Filters &amp; Fluids</x:v>
      </x:c>
      <x:c r="E101" s="50" t="str"/>
      <x:c r="F101" s="50" t="str">
        <x:v>each</x:v>
      </x:c>
      <x:c r="G101" s="54" t="n">
        <x:v>46</x:v>
      </x:c>
      <x:c r="H101" s="54" t="n">
        <x:v>6</x:v>
      </x:c>
      <x:c r="I101" s="52" t="n">
        <x:v>194.29</x:v>
      </x:c>
      <x:c r="J101" s="50" t="str">
        <x:v>CANYON EQUIPMENT</x:v>
      </x:c>
      <x:c r="K101" s="50" t="str">
        <x:v>2026-07-05</x:v>
      </x:c>
      <x:c r="L101" s="50" t="str"/>
    </x:row>
    <x:row r="102" ht="22" customHeight="1">
      <x:c r="A102" s="50" t="str">
        <x:v>IN-0097</x:v>
      </x:c>
      <x:c r="B102" s="50" t="str">
        <x:v>SP1197</x:v>
      </x:c>
      <x:c r="C102" s="50" t="str">
        <x:v>Lockout Tag - Standard</x:v>
      </x:c>
      <x:c r="D102" s="50" t="str">
        <x:v>Safety</x:v>
      </x:c>
      <x:c r="E102" s="50" t="str">
        <x:v>WH-B-01-01</x:v>
      </x:c>
      <x:c r="F102" s="50" t="str">
        <x:v>pcs</x:v>
      </x:c>
      <x:c r="G102" s="54" t="n">
        <x:v>87</x:v>
      </x:c>
      <x:c r="H102" s="54" t="n">
        <x:v>17</x:v>
      </x:c>
      <x:c r="I102" s="52" t="n">
        <x:v>3.77</x:v>
      </x:c>
      <x:c r="J102" s="50" t="str">
        <x:v>REDGATE SUPPLY</x:v>
      </x:c>
      <x:c r="K102" s="50" t="str">
        <x:v>2026-09-24</x:v>
      </x:c>
      <x:c r="L102" s="50" t="str"/>
    </x:row>
    <x:row r="103" ht="22" customHeight="1">
      <x:c r="A103" s="50" t="str">
        <x:v>IN-0098</x:v>
      </x:c>
      <x:c r="B103" s="50" t="str">
        <x:v>SP 1198</x:v>
      </x:c>
      <x:c r="C103" s="50" t="str">
        <x:v>Safety Interlock - Standard</x:v>
      </x:c>
      <x:c r="D103" s="50" t="str">
        <x:v>Maintenance Safety</x:v>
      </x:c>
      <x:c r="E103" s="50" t="str">
        <x:v>C3-02</x:v>
      </x:c>
      <x:c r="F103" s="50" t="str">
        <x:v>PAIR</x:v>
      </x:c>
      <x:c r="G103" s="54" t="n">
        <x:v>79</x:v>
      </x:c>
      <x:c r="H103" s="54" t="n">
        <x:v>18</x:v>
      </x:c>
      <x:c r="I103" s="52" t="n">
        <x:v>26.2</x:v>
      </x:c>
      <x:c r="J103" s="50" t="str">
        <x:v>CANYON EQUIPMENT</x:v>
      </x:c>
      <x:c r="K103" s="50" t="str">
        <x:v>2026-09-07</x:v>
      </x:c>
      <x:c r="L103" s="50" t="str"/>
    </x:row>
    <x:row r="104" ht="22" customHeight="1">
      <x:c r="A104" s="50" t="str">
        <x:v>IN-0099</x:v>
      </x:c>
      <x:c r="B104" s="50" t="str">
        <x:v>SP-1199</x:v>
      </x:c>
      <x:c r="C104" s="50" t="str">
        <x:v>Inspection Mirror - Heavy Duty</x:v>
      </x:c>
      <x:c r="D104" s="50" t="str">
        <x:v>Safety &amp; Maintenance</x:v>
      </x:c>
      <x:c r="E104" s="50" t="str">
        <x:v>wh-a-03-03</x:v>
      </x:c>
      <x:c r="F104" s="50" t="str">
        <x:v>EA</x:v>
      </x:c>
      <x:c r="G104" s="54" t="n">
        <x:v>37</x:v>
      </x:c>
      <x:c r="H104" s="54" t="n">
        <x:v>16</x:v>
      </x:c>
      <x:c r="I104" s="52" t="n">
        <x:v>251.65</x:v>
      </x:c>
      <x:c r="J104" s="50" t="str">
        <x:v>REDGATE SUPPLY</x:v>
      </x:c>
      <x:c r="K104" s="50" t="str">
        <x:v>2026-08-06</x:v>
      </x:c>
      <x:c r="L104" s="50" t="str"/>
    </x:row>
    <x:row r="105" ht="22" customHeight="1">
      <x:c r="A105" s="50" t="str">
        <x:v>IN-0100</x:v>
      </x:c>
      <x:c r="B105" s="50" t="str">
        <x:v>SP-1200</x:v>
      </x:c>
      <x:c r="C105" s="50" t="str">
        <x:v>Spill Absorbent Pad - Standard</x:v>
      </x:c>
      <x:c r="D105" s="50" t="str">
        <x:v>Maintenance Safety</x:v>
      </x:c>
      <x:c r="E105" s="50" t="str">
        <x:v>wh-d-02-02</x:v>
      </x:c>
      <x:c r="F105" s="50" t="str">
        <x:v>ea</x:v>
      </x:c>
      <x:c r="G105" s="54" t="n">
        <x:v>65</x:v>
      </x:c>
      <x:c r="H105" s="54" t="n">
        <x:v>12</x:v>
      </x:c>
      <x:c r="I105" s="52" t="n">
        <x:v>169.92</x:v>
      </x:c>
      <x:c r="J105" s="50" t="str">
        <x:v>NORTH FORGE PARTS</x:v>
      </x:c>
      <x:c r="K105" s="50" t="str">
        <x:v>2026-08-29</x:v>
      </x:c>
      <x:c r="L105" s="50" t="str"/>
    </x:row>
    <x:row r="106" ht="22" customHeight="1">
      <x:c r="A106" s="50" t="str">
        <x:v>IN-0101</x:v>
      </x:c>
      <x:c r="B106" s="50" t="str">
        <x:v>SP1201</x:v>
      </x:c>
      <x:c r="C106" s="50" t="str">
        <x:v>Warning Beacon - Heavy Duty</x:v>
      </x:c>
      <x:c r="D106" s="50" t="str">
        <x:v>Maintenance Safety</x:v>
      </x:c>
      <x:c r="E106" s="50" t="str">
        <x:v>WH-D-01-05</x:v>
      </x:c>
      <x:c r="F106" s="50" t="str">
        <x:v>each</x:v>
      </x:c>
      <x:c r="G106" s="54" t="n">
        <x:v>47</x:v>
      </x:c>
      <x:c r="H106" s="54" t="n">
        <x:v>7</x:v>
      </x:c>
      <x:c r="I106" s="52" t="n">
        <x:v>259.33</x:v>
      </x:c>
      <x:c r="J106" s="50" t="str">
        <x:v>REDGATE SUPPLY</x:v>
      </x:c>
      <x:c r="K106" s="50" t="str">
        <x:v>2026-07-28</x:v>
      </x:c>
      <x:c r="L106" s="50" t="str"/>
    </x:row>
    <x:row r="107" ht="22" customHeight="1">
      <x:c r="A107" s="50" t="str">
        <x:v>IN-0102</x:v>
      </x:c>
      <x:c r="B107" s="50" t="str">
        <x:v>SP-1202</x:v>
      </x:c>
      <x:c r="C107" s="50" t="str">
        <x:v>Emergency Pull Cord - Heavy Duty</x:v>
      </x:c>
      <x:c r="D107" s="50" t="str">
        <x:v>Maintenance Safety</x:v>
      </x:c>
      <x:c r="E107" s="50" t="str">
        <x:v>WH-C-04-01</x:v>
      </x:c>
      <x:c r="F107" s="50" t="str">
        <x:v>ea</x:v>
      </x:c>
      <x:c r="G107" s="54" t="n">
        <x:v>75</x:v>
      </x:c>
      <x:c r="H107" s="54" t="n">
        <x:v>20</x:v>
      </x:c>
      <x:c r="I107" s="52" t="n">
        <x:v>124.38</x:v>
      </x:c>
      <x:c r="J107" s="50" t="str">
        <x:v>Redgate</x:v>
      </x:c>
      <x:c r="K107" s="50" t="str">
        <x:v>2026-07-11</x:v>
      </x:c>
      <x:c r="L107" s="50" t="str"/>
    </x:row>
    <x:row r="108" ht="22" customHeight="1">
      <x:c r="A108" s="50" t="str">
        <x:v>IN-0103</x:v>
      </x:c>
      <x:c r="B108" s="50" t="str">
        <x:v>SP-1203</x:v>
      </x:c>
      <x:c r="C108" s="50" t="str">
        <x:v>Safety Guard Hinge - Standard</x:v>
      </x:c>
      <x:c r="D108" s="50" t="str">
        <x:v>Safety &amp; Maintenance</x:v>
      </x:c>
      <x:c r="E108" s="50" t="str">
        <x:v>WH-C-02-03</x:v>
      </x:c>
      <x:c r="F108" s="50" t="str">
        <x:v>box</x:v>
      </x:c>
      <x:c r="G108" s="54" t="n">
        <x:v>40</x:v>
      </x:c>
      <x:c r="H108" s="54" t="n">
        <x:v>19</x:v>
      </x:c>
      <x:c r="I108" s="52" t="n">
        <x:v>169.85</x:v>
      </x:c>
      <x:c r="J108" s="50" t="str">
        <x:v>Canyon Equipment</x:v>
      </x:c>
      <x:c r="K108" s="50" t="str">
        <x:v>2026-09-18</x:v>
      </x:c>
      <x:c r="L108" s="50" t="str"/>
    </x:row>
    <x:row r="109" ht="22" customHeight="1">
      <x:c r="A109" s="50" t="str">
        <x:v>IN-0104</x:v>
      </x:c>
      <x:c r="B109" s="50" t="str">
        <x:v>SP-1204</x:v>
      </x:c>
      <x:c r="C109" s="50" t="str">
        <x:v> machine light  -  standard </x:v>
      </x:c>
      <x:c r="D109" s="50" t="str">
        <x:v>Safety</x:v>
      </x:c>
      <x:c r="E109" s="50" t="str">
        <x:v>wh-b-03-01</x:v>
      </x:c>
      <x:c r="F109" s="50" t="str">
        <x:v>ea</x:v>
      </x:c>
      <x:c r="G109" s="54" t="n">
        <x:v>21</x:v>
      </x:c>
      <x:c r="H109" s="54" t="n">
        <x:v>8</x:v>
      </x:c>
      <x:c r="I109" s="52" t="str"/>
      <x:c r="J109" s="50" t="str">
        <x:v>Redgate Supply</x:v>
      </x:c>
      <x:c r="K109" s="50" t="str">
        <x:v>09/30/2026</x:v>
      </x:c>
      <x:c r="L109" s="50" t="str"/>
    </x:row>
    <x:row r="110" ht="22" customHeight="1">
      <x:c r="A110" s="50" t="str">
        <x:v>IN-0105</x:v>
      </x:c>
      <x:c r="B110" s="50" t="str">
        <x:v>SP-1205</x:v>
      </x:c>
      <x:c r="C110" s="50" t="str">
        <x:v>Safety Sign Holder - Standard</x:v>
      </x:c>
      <x:c r="D110" s="50" t="str">
        <x:v>Safety &amp; Maintenance</x:v>
      </x:c>
      <x:c r="E110" s="50" t="str">
        <x:v>wh-a-03-01</x:v>
      </x:c>
      <x:c r="F110" s="50" t="str">
        <x:v>FT</x:v>
      </x:c>
      <x:c r="G110" s="54" t="n">
        <x:v>33</x:v>
      </x:c>
      <x:c r="H110" s="54" t="n">
        <x:v>21</x:v>
      </x:c>
      <x:c r="I110" s="52" t="n">
        <x:v>61.34</x:v>
      </x:c>
      <x:c r="J110" s="50" t="str">
        <x:v>Meridian Industrial</x:v>
      </x:c>
      <x:c r="K110" s="50" t="str">
        <x:v>2026-07-25</x:v>
      </x:c>
      <x:c r="L110" s="50" t="str"/>
    </x:row>
    <x:row r="111" ht="22" customHeight="1">
      <x:c r="A111" s="50" t="str">
        <x:v>IN-0106</x:v>
      </x:c>
      <x:c r="B111" s="50" t="str">
        <x:v>SP-1206</x:v>
      </x:c>
      <x:c r="C111" s="50" t="str">
        <x:v>Cable Protector - Standard</x:v>
      </x:c>
      <x:c r="D111" s="50" t="str">
        <x:v>Maintenance Safety</x:v>
      </x:c>
      <x:c r="E111" s="50" t="str">
        <x:v>C3-04</x:v>
      </x:c>
      <x:c r="F111" s="50" t="str">
        <x:v>BOX</x:v>
      </x:c>
      <x:c r="G111" s="54" t="n">
        <x:v>47</x:v>
      </x:c>
      <x:c r="H111" s="54" t="n">
        <x:v>13</x:v>
      </x:c>
      <x:c r="I111" s="52" t="n">
        <x:v>222.12</x:v>
      </x:c>
      <x:c r="J111" s="50" t="str">
        <x:v>North Forge Parts</x:v>
      </x:c>
      <x:c r="K111" s="50" t="str">
        <x:v>2026-07-05</x:v>
      </x:c>
      <x:c r="L111" s="50" t="str"/>
    </x:row>
    <x:row r="112" ht="22" customHeight="1">
      <x:c r="A112" s="50" t="str">
        <x:v>IN-0107</x:v>
      </x:c>
      <x:c r="B112" s="50" t="str">
        <x:v>SP-1207</x:v>
      </x:c>
      <x:c r="C112" s="50" t="str">
        <x:v>Tool Lanyard - Heavy Duty</x:v>
      </x:c>
      <x:c r="D112" s="50" t="str">
        <x:v>Safety &amp; Maintenance</x:v>
      </x:c>
      <x:c r="E112" s="50" t="str">
        <x:v>STAGING???</x:v>
      </x:c>
      <x:c r="F112" s="50" t="str">
        <x:v>PAIR</x:v>
      </x:c>
      <x:c r="G112" s="54" t="n">
        <x:v>38</x:v>
      </x:c>
      <x:c r="H112" s="54" t="n">
        <x:v>15</x:v>
      </x:c>
      <x:c r="I112" s="52" t="n">
        <x:v>385.6</x:v>
      </x:c>
      <x:c r="J112" s="50" t="str">
        <x:v>Meridian Ind.</x:v>
      </x:c>
      <x:c r="K112" s="50" t="str">
        <x:v>2026-09-27</x:v>
      </x:c>
      <x:c r="L112" s="50" t="str"/>
    </x:row>
    <x:row r="113" ht="22" customHeight="1">
      <x:c r="A113" s="50" t="str">
        <x:v>IN-0108</x:v>
      </x:c>
      <x:c r="B113" s="50" t="str">
        <x:v>SP 1208</x:v>
      </x:c>
      <x:c r="C113" s="50" t="str">
        <x:v>Service Access Latch - Type B</x:v>
      </x:c>
      <x:c r="D113" s="50" t="str">
        <x:v>Safety &amp; Maintenance</x:v>
      </x:c>
      <x:c r="E113" s="50" t="str">
        <x:v>wh-a-01-05</x:v>
      </x:c>
      <x:c r="F113" s="50" t="str">
        <x:v>pair</x:v>
      </x:c>
      <x:c r="G113" s="54" t="n">
        <x:v>34</x:v>
      </x:c>
      <x:c r="H113" s="54" t="n">
        <x:v>5</x:v>
      </x:c>
      <x:c r="I113" s="52" t="n">
        <x:v>12.65</x:v>
      </x:c>
      <x:c r="J113" s="50" t="str">
        <x:v>Redgate</x:v>
      </x:c>
      <x:c r="K113" s="50" t="str">
        <x:v>2026-09-04</x:v>
      </x:c>
      <x:c r="L113" s="50" t="str"/>
    </x:row>
    <x:row r="114" ht="22" customHeight="1">
      <x:c r="A114" s="50" t="str">
        <x:v>IN-0109</x:v>
      </x:c>
      <x:c r="B114" s="50" t="str">
        <x:v>sp-1209</x:v>
      </x:c>
      <x:c r="C114" s="50" t="str">
        <x:v>Temperature Probe - Heavy Duty</x:v>
      </x:c>
      <x:c r="D114" s="50" t="str">
        <x:v>Sensors</x:v>
      </x:c>
      <x:c r="E114" s="50" t="str">
        <x:v>wh-a-01-05</x:v>
      </x:c>
      <x:c r="F114" s="50" t="str">
        <x:v>BOX</x:v>
      </x:c>
      <x:c r="G114" s="54" t="str">
        <x:v>TBD</x:v>
      </x:c>
      <x:c r="H114" s="54" t="n">
        <x:v>13</x:v>
      </x:c>
      <x:c r="I114" s="52" t="n">
        <x:v>260.55</x:v>
      </x:c>
      <x:c r="J114" s="50" t="str">
        <x:v>REDGATE SUPPLY</x:v>
      </x:c>
      <x:c r="K114" s="50" t="str">
        <x:v>2026-09-03</x:v>
      </x:c>
      <x:c r="L114" s="50" t="str"/>
    </x:row>
    <x:row r="115" ht="22" customHeight="1">
      <x:c r="A115" s="50" t="str">
        <x:v>IN-0110</x:v>
      </x:c>
      <x:c r="B115" s="50" t="str">
        <x:v>SP-1210</x:v>
      </x:c>
      <x:c r="C115" s="50" t="str">
        <x:v>Digital Pressure Sensor - Metric</x:v>
      </x:c>
      <x:c r="D115" s="50" t="str">
        <x:v>Sensors</x:v>
      </x:c>
      <x:c r="E115" s="50" t="str">
        <x:v>WH-A-03-01</x:v>
      </x:c>
      <x:c r="F115" s="50" t="str">
        <x:v>EA</x:v>
      </x:c>
      <x:c r="G115" s="54" t="n">
        <x:v>71</x:v>
      </x:c>
      <x:c r="H115" s="54" t="n">
        <x:v>12</x:v>
      </x:c>
      <x:c r="I115" s="52" t="n">
        <x:v>346.2</x:v>
      </x:c>
      <x:c r="J115" s="50" t="str">
        <x:v>N. Forge Parts</x:v>
      </x:c>
      <x:c r="K115" s="50" t="str">
        <x:v>2026-08-01</x:v>
      </x:c>
      <x:c r="L115" s="50" t="str"/>
    </x:row>
    <x:row r="116" ht="22" customHeight="1">
      <x:c r="A116" s="50" t="str">
        <x:v>IN-0111</x:v>
      </x:c>
      <x:c r="B116" s="50" t="str">
        <x:v>MISSING</x:v>
      </x:c>
      <x:c r="C116" s="50" t="str">
        <x:v>Flow Indicator - Heavy Duty</x:v>
      </x:c>
      <x:c r="D116" s="50" t="str">
        <x:v>Instrumentation</x:v>
      </x:c>
      <x:c r="E116" s="50" t="str">
        <x:v>wh-a-02-03</x:v>
      </x:c>
      <x:c r="F116" s="50" t="str">
        <x:v>pcs</x:v>
      </x:c>
      <x:c r="G116" s="54" t="n">
        <x:v>35</x:v>
      </x:c>
      <x:c r="H116" s="54" t="n">
        <x:v>18</x:v>
      </x:c>
      <x:c r="I116" s="52" t="n">
        <x:v>267.6</x:v>
      </x:c>
      <x:c r="J116" s="50" t="str">
        <x:v>Canyon Equipment</x:v>
      </x:c>
      <x:c r="K116" s="50" t="str">
        <x:v>2026-09-08</x:v>
      </x:c>
      <x:c r="L116" s="50" t="str"/>
    </x:row>
    <x:row r="117" ht="22" customHeight="1">
      <x:c r="A117" s="50" t="str">
        <x:v>IN-0112</x:v>
      </x:c>
      <x:c r="B117" s="50" t="str">
        <x:v>SP-1212</x:v>
      </x:c>
      <x:c r="C117" s="50" t="str">
        <x:v> current transformer  -  type b </x:v>
      </x:c>
      <x:c r="D117" s="50" t="str">
        <x:v>Sensors</x:v>
      </x:c>
      <x:c r="E117" s="50" t="str">
        <x:v>WH-B-04-03</x:v>
      </x:c>
      <x:c r="F117" s="50" t="str">
        <x:v>pair</x:v>
      </x:c>
      <x:c r="G117" s="54" t="n">
        <x:v>88</x:v>
      </x:c>
      <x:c r="H117" s="54" t="n">
        <x:v>17</x:v>
      </x:c>
      <x:c r="I117" s="52" t="n">
        <x:v>146.78</x:v>
      </x:c>
      <x:c r="J117" s="50" t="str">
        <x:v>Redgate</x:v>
      </x:c>
      <x:c r="K117" s="50" t="str">
        <x:v>2026-07-30</x:v>
      </x:c>
      <x:c r="L117" s="50" t="str"/>
    </x:row>
    <x:row r="118" ht="22" customHeight="1">
      <x:c r="A118" s="50" t="str">
        <x:v>IN-0113</x:v>
      </x:c>
      <x:c r="B118" s="50" t="str">
        <x:v>SP 1213</x:v>
      </x:c>
      <x:c r="C118" s="50" t="str">
        <x:v>Vibration Sensor - Type B</x:v>
      </x:c>
      <x:c r="D118" s="50" t="str">
        <x:v>Instrumentation</x:v>
      </x:c>
      <x:c r="E118" s="50" t="str">
        <x:v>A4-04</x:v>
      </x:c>
      <x:c r="F118" s="50" t="str">
        <x:v>ea</x:v>
      </x:c>
      <x:c r="G118" s="54" t="n">
        <x:v>63</x:v>
      </x:c>
      <x:c r="H118" s="54" t="n">
        <x:v>19</x:v>
      </x:c>
      <x:c r="I118" s="52" t="n">
        <x:v>126.79</x:v>
      </x:c>
      <x:c r="J118" s="50" t="str">
        <x:v>Meridian Ind.</x:v>
      </x:c>
      <x:c r="K118" s="50" t="str">
        <x:v>2026-07-13</x:v>
      </x:c>
      <x:c r="L118" s="50" t="str"/>
    </x:row>
    <x:row r="119" ht="22" customHeight="1">
      <x:c r="A119" s="50" t="str">
        <x:v>IN-0114</x:v>
      </x:c>
      <x:c r="B119" s="50" t="str">
        <x:v>SP-1214</x:v>
      </x:c>
      <x:c r="C119" s="50" t="str">
        <x:v>Optical Encoder - Heavy Duty</x:v>
      </x:c>
      <x:c r="D119" s="50" t="str">
        <x:v>Sensors &amp; Instrumentation</x:v>
      </x:c>
      <x:c r="E119" s="50" t="str">
        <x:v>D4-04</x:v>
      </x:c>
      <x:c r="F119" s="50" t="str">
        <x:v>each</x:v>
      </x:c>
      <x:c r="G119" s="54" t="n">
        <x:v>51</x:v>
      </x:c>
      <x:c r="H119" s="54" t="n">
        <x:v>7</x:v>
      </x:c>
      <x:c r="I119" s="52" t="n">
        <x:v>219.48</x:v>
      </x:c>
      <x:c r="J119" s="50" t="str">
        <x:v>CANYON EQUIPMENT</x:v>
      </x:c>
      <x:c r="K119" s="50" t="str">
        <x:v>2026-07-24</x:v>
      </x:c>
      <x:c r="L119" s="50" t="str"/>
    </x:row>
    <x:row r="120" ht="22" customHeight="1">
      <x:c r="A120" s="50" t="str">
        <x:v>IN-0115</x:v>
      </x:c>
      <x:c r="B120" s="50" t="str">
        <x:v>SP-1215</x:v>
      </x:c>
      <x:c r="C120" s="50" t="str">
        <x:v>Level Switch - Heavy Duty</x:v>
      </x:c>
      <x:c r="D120" s="50" t="str">
        <x:v>Instrumentation</x:v>
      </x:c>
      <x:c r="E120" s="50" t="str">
        <x:v>wh-d-01-05</x:v>
      </x:c>
      <x:c r="F120" s="50" t="str">
        <x:v>BOX</x:v>
      </x:c>
      <x:c r="G120" s="54" t="n">
        <x:v>16</x:v>
      </x:c>
      <x:c r="H120" s="54" t="n">
        <x:v>10</x:v>
      </x:c>
      <x:c r="I120" s="52" t="n">
        <x:v>24.58</x:v>
      </x:c>
      <x:c r="J120" s="50" t="str">
        <x:v>N. Forge Parts</x:v>
      </x:c>
      <x:c r="K120" s="50" t="str">
        <x:v>2026-07-14</x:v>
      </x:c>
      <x:c r="L120" s="50" t="str"/>
    </x:row>
    <x:row r="121" ht="22" customHeight="1">
      <x:c r="A121" s="50" t="str">
        <x:v>IN-0116</x:v>
      </x:c>
      <x:c r="B121" s="50" t="str">
        <x:v>SP-1216</x:v>
      </x:c>
      <x:c r="C121" s="50" t="str">
        <x:v>Tachometer Pickup - Heavy Duty</x:v>
      </x:c>
      <x:c r="D121" s="50" t="str">
        <x:v>Sensors</x:v>
      </x:c>
      <x:c r="E121" s="50" t="str">
        <x:v>wh-c-03-01</x:v>
      </x:c>
      <x:c r="F121" s="50" t="str">
        <x:v>pcs</x:v>
      </x:c>
      <x:c r="G121" s="54" t="n">
        <x:v>16</x:v>
      </x:c>
      <x:c r="H121" s="54" t="n">
        <x:v>8</x:v>
      </x:c>
      <x:c r="I121" s="52" t="n">
        <x:v>377.05</x:v>
      </x:c>
      <x:c r="J121" s="50" t="str">
        <x:v>MERIDIAN INDUSTRIAL</x:v>
      </x:c>
      <x:c r="K121" s="50" t="str">
        <x:v>2026-09-21</x:v>
      </x:c>
      <x:c r="L121" s="50" t="str"/>
    </x:row>
    <x:row r="122" ht="22" customHeight="1">
      <x:c r="A122" s="50" t="str">
        <x:v>IN-0117</x:v>
      </x:c>
      <x:c r="B122" s="50" t="str">
        <x:v>SP-??</x:v>
      </x:c>
      <x:c r="C122" s="50" t="str">
        <x:v>RTD Extension Cable - Metric</x:v>
      </x:c>
      <x:c r="D122" s="50" t="str">
        <x:v>Instrumentation</x:v>
      </x:c>
      <x:c r="E122" s="50" t="str">
        <x:v>C1-03</x:v>
      </x:c>
      <x:c r="F122" s="50" t="str">
        <x:v>EA</x:v>
      </x:c>
      <x:c r="G122" s="54" t="n">
        <x:v>55</x:v>
      </x:c>
      <x:c r="H122" s="54" t="n">
        <x:v>12</x:v>
      </x:c>
      <x:c r="I122" s="52" t="n">
        <x:v>345.21</x:v>
      </x:c>
      <x:c r="J122" s="50" t="str">
        <x:v>Canyon Equipment</x:v>
      </x:c>
      <x:c r="K122" s="50" t="str">
        <x:v>08/22/2026</x:v>
      </x:c>
      <x:c r="L122" s="50" t="str"/>
    </x:row>
    <x:row r="123" ht="22" customHeight="1">
      <x:c r="A123" s="50" t="str">
        <x:v>IN-0118</x:v>
      </x:c>
      <x:c r="B123" s="50" t="str">
        <x:v>sp-1218</x:v>
      </x:c>
      <x:c r="C123" s="50" t="str">
        <x:v>Sensor Mount - Heavy Duty</x:v>
      </x:c>
      <x:c r="D123" s="50" t="str">
        <x:v>Sensors &amp; Instrumentation</x:v>
      </x:c>
      <x:c r="E123" s="50" t="str">
        <x:v>D3-01</x:v>
      </x:c>
      <x:c r="F123" s="50" t="str">
        <x:v>pcs</x:v>
      </x:c>
      <x:c r="G123" s="54" t="str"/>
      <x:c r="H123" s="54" t="n">
        <x:v>6</x:v>
      </x:c>
      <x:c r="I123" s="52" t="n">
        <x:v>389.68</x:v>
      </x:c>
      <x:c r="J123" s="50" t="str">
        <x:v>N. Forge Parts</x:v>
      </x:c>
      <x:c r="K123" s="50" t="str">
        <x:v>2026-09-30</x:v>
      </x:c>
      <x:c r="L123" s="50" t="str"/>
    </x:row>
    <x:row r="124" ht="22" customHeight="1">
      <x:c r="A124" s="50" t="str">
        <x:v>IN-0119</x:v>
      </x:c>
      <x:c r="B124" s="50" t="str">
        <x:v>sp-1219</x:v>
      </x:c>
      <x:c r="C124" s="50" t="str">
        <x:v>Encoder Cable - Metric</x:v>
      </x:c>
      <x:c r="D124" s="50" t="str">
        <x:v>Sensors</x:v>
      </x:c>
      <x:c r="E124" s="50" t="str">
        <x:v>WH-D-02-05</x:v>
      </x:c>
      <x:c r="F124" s="50" t="str">
        <x:v>each</x:v>
      </x:c>
      <x:c r="G124" s="54" t="n">
        <x:v>1</x:v>
      </x:c>
      <x:c r="H124" s="54" t="n">
        <x:v>4</x:v>
      </x:c>
      <x:c r="I124" s="52" t="n">
        <x:v>328.62</x:v>
      </x:c>
      <x:c r="J124" s="50" t="str">
        <x:v>Meridian Ind.</x:v>
      </x:c>
      <x:c r="K124" s="50" t="str">
        <x:v>2026-08-10</x:v>
      </x:c>
      <x:c r="L124" s="50" t="str"/>
    </x:row>
    <x:row r="125" ht="22" customHeight="1">
      <x:c r="A125" s="50" t="str">
        <x:v>IN-0120</x:v>
      </x:c>
      <x:c r="B125" s="50" t="str">
        <x:v>SP 1220</x:v>
      </x:c>
      <x:c r="C125" s="50" t="str">
        <x:v> thermocouple connector  -  standard </x:v>
      </x:c>
      <x:c r="D125" s="50" t="str">
        <x:v>Instrumentation</x:v>
      </x:c>
      <x:c r="E125" s="50" t="str">
        <x:v>C3-01</x:v>
      </x:c>
      <x:c r="F125" s="50" t="str">
        <x:v>ft</x:v>
      </x:c>
      <x:c r="G125" s="54" t="n">
        <x:v>1</x:v>
      </x:c>
      <x:c r="H125" s="54" t="n">
        <x:v>22</x:v>
      </x:c>
      <x:c r="I125" s="52" t="n">
        <x:v>72.78</x:v>
      </x:c>
      <x:c r="J125" s="50" t="str">
        <x:v>CANYON EQUIPMENT</x:v>
      </x:c>
      <x:c r="K125" s="50" t="str">
        <x:v>2026-09-10</x:v>
      </x:c>
      <x:c r="L125" s="50" t="str"/>
    </x:row>
    <x:row r="126" ht="22" customHeight="1">
      <x:c r="A126" s="50" t="str">
        <x:v>IN-0121</x:v>
      </x:c>
      <x:c r="B126" s="50" t="str">
        <x:v>SP-1105</x:v>
      </x:c>
      <x:c r="C126" s="50" t="str">
        <x:v>Drive Pulley - Heavy Duty</x:v>
      </x:c>
      <x:c r="D126" s="50" t="str">
        <x:v>Pwr Trans</x:v>
      </x:c>
      <x:c r="E126" s="50" t="str">
        <x:v>WH-D-04-03</x:v>
      </x:c>
      <x:c r="F126" s="50" t="str">
        <x:v>BOX</x:v>
      </x:c>
      <x:c r="G126" s="54" t="n">
        <x:v>77</x:v>
      </x:c>
      <x:c r="H126" s="54" t="n">
        <x:v>7</x:v>
      </x:c>
      <x:c r="I126" s="52" t="n">
        <x:v>362.55</x:v>
      </x:c>
      <x:c r="J126" s="50" t="str">
        <x:v>CANYON EQUIPMENT</x:v>
      </x:c>
      <x:c r="K126" s="50" t="str">
        <x:v>2026-09-16</x:v>
      </x:c>
      <x:c r="L126" s="50" t="str">
        <x:v>Second source export / possible duplicate</x:v>
      </x:c>
    </x:row>
    <x:row r="127" ht="22" customHeight="1">
      <x:c r="A127" s="50" t="str">
        <x:v>IN-0122</x:v>
      </x:c>
      <x:c r="B127" s="50" t="str">
        <x:v>SP-1122</x:v>
      </x:c>
      <x:c r="C127" s="50" t="str">
        <x:v>Belt Cleaner Arm - Metric</x:v>
      </x:c>
      <x:c r="D127" s="50" t="str">
        <x:v>Conveyor Systems</x:v>
      </x:c>
      <x:c r="E127" s="50" t="str">
        <x:v>WH-B-04-01</x:v>
      </x:c>
      <x:c r="F127" s="50" t="str">
        <x:v>each</x:v>
      </x:c>
      <x:c r="G127" s="54" t="n">
        <x:v>57</x:v>
      </x:c>
      <x:c r="H127" s="54" t="n">
        <x:v>14</x:v>
      </x:c>
      <x:c r="I127" s="52" t="n">
        <x:v>293.14</x:v>
      </x:c>
      <x:c r="J127" s="50" t="str">
        <x:v>REDGATE SUPPLY</x:v>
      </x:c>
      <x:c r="K127" s="50" t="str">
        <x:v>2026-07-26</x:v>
      </x:c>
      <x:c r="L127" s="50" t="str">
        <x:v>Second source export / possible duplicate</x:v>
      </x:c>
    </x:row>
    <x:row r="128" ht="22" customHeight="1">
      <x:c r="A128" s="50" t="str">
        <x:v>IN-0123</x:v>
      </x:c>
      <x:c r="B128" s="50" t="str">
        <x:v>SP-1140</x:v>
      </x:c>
      <x:c r="C128" s="50" t="str">
        <x:v> limit switch  -  type b </x:v>
      </x:c>
      <x:c r="D128" s="50" t="str">
        <x:v>Electrical Controls</x:v>
      </x:c>
      <x:c r="E128" s="50" t="str">
        <x:v>WH-D-03-03</x:v>
      </x:c>
      <x:c r="F128" s="50" t="str">
        <x:v>BOX</x:v>
      </x:c>
      <x:c r="G128" s="54" t="n">
        <x:v>23</x:v>
      </x:c>
      <x:c r="H128" s="54" t="n">
        <x:v>18</x:v>
      </x:c>
      <x:c r="I128" s="52" t="n">
        <x:v>75.53</x:v>
      </x:c>
      <x:c r="J128" s="50" t="str">
        <x:v>NORTH FORGE PARTS</x:v>
      </x:c>
      <x:c r="K128" s="50" t="str">
        <x:v>2026-07-17</x:v>
      </x:c>
      <x:c r="L128" s="50" t="str">
        <x:v>Second source export / possible duplicate</x:v>
      </x:c>
    </x:row>
    <x:row r="129" ht="22" customHeight="1">
      <x:c r="A129" s="50" t="str">
        <x:v>IN-0124</x:v>
      </x:c>
      <x:c r="B129" s="50" t="str">
        <x:v>sp-1164</x:v>
      </x:c>
      <x:c r="C129" s="50" t="str">
        <x:v> push-to-connect fitting  -  type b </x:v>
      </x:c>
      <x:c r="D129" s="50" t="str">
        <x:v>Pneumatic</x:v>
      </x:c>
      <x:c r="E129" s="50" t="str">
        <x:v>WH-A-02-01</x:v>
      </x:c>
      <x:c r="F129" s="50" t="str">
        <x:v>box</x:v>
      </x:c>
      <x:c r="G129" s="54" t="n">
        <x:v>58</x:v>
      </x:c>
      <x:c r="H129" s="54" t="n">
        <x:v>17</x:v>
      </x:c>
      <x:c r="I129" s="52" t="n">
        <x:v>109.22</x:v>
      </x:c>
      <x:c r="J129" s="50" t="str">
        <x:v>NORTH FORGE PARTS</x:v>
      </x:c>
      <x:c r="K129" s="50" t="str">
        <x:v>2026-09-18</x:v>
      </x:c>
      <x:c r="L129" s="50" t="str">
        <x:v>Second source export / possible duplicate</x:v>
      </x:c>
    </x:row>
    <x:row r="130" ht="22" customHeight="1">
      <x:c r="A130" s="50" t="str">
        <x:v>IN-0125</x:v>
      </x:c>
      <x:c r="B130" s="50" t="str">
        <x:v>SP-1187</x:v>
      </x:c>
      <x:c r="C130" s="50" t="str">
        <x:v>Oil Filter Element - Standard</x:v>
      </x:c>
      <x:c r="D130" s="50" t="str">
        <x:v>Lube &amp; Filters</x:v>
      </x:c>
      <x:c r="E130" s="50" t="str">
        <x:v>wh-c-01-03</x:v>
      </x:c>
      <x:c r="F130" s="50" t="str">
        <x:v>each</x:v>
      </x:c>
      <x:c r="G130" s="54" t="n">
        <x:v>87</x:v>
      </x:c>
      <x:c r="H130" s="54" t="n">
        <x:v>10</x:v>
      </x:c>
      <x:c r="I130" s="52" t="n">
        <x:v>23.91</x:v>
      </x:c>
      <x:c r="J130" s="50" t="str">
        <x:v>Meridian Industrial</x:v>
      </x:c>
      <x:c r="K130" s="50" t="str">
        <x:v>2026-07-15</x:v>
      </x:c>
      <x:c r="L130" s="50" t="str">
        <x:v>Second source export / possible duplicate</x:v>
      </x:c>
    </x:row>
    <x:row r="131" ht="22" customHeight="1">
      <x:c r="A131" s="50" t="str">
        <x:v>IN-0126</x:v>
      </x:c>
      <x:c r="B131" s="50" t="str">
        <x:v>SP-1212</x:v>
      </x:c>
      <x:c r="C131" s="50" t="str">
        <x:v> current transformer  -  type b </x:v>
      </x:c>
      <x:c r="D131" s="50" t="str">
        <x:v>Sensors</x:v>
      </x:c>
      <x:c r="E131" s="50" t="str">
        <x:v>WH-B-04-03</x:v>
      </x:c>
      <x:c r="F131" s="50" t="str">
        <x:v>pair</x:v>
      </x:c>
      <x:c r="G131" s="54" t="n">
        <x:v>88</x:v>
      </x:c>
      <x:c r="H131" s="54" t="n">
        <x:v>17</x:v>
      </x:c>
      <x:c r="I131" s="52" t="n">
        <x:v>146.78</x:v>
      </x:c>
      <x:c r="J131" s="50" t="str">
        <x:v>Redgate</x:v>
      </x:c>
      <x:c r="K131" s="50" t="str">
        <x:v>2026-07-30</x:v>
      </x:c>
      <x:c r="L131" s="50" t="str">
        <x:v>Second source export / possible duplicate</x:v>
      </x:c>
    </x:row>
    <x:row r="132" ht="22" customHeight="1">
      <x:c r="A132" s="50" t="str">
        <x:v>IN-0127</x:v>
      </x:c>
      <x:c r="B132" s="50" t="str">
        <x:v>SP-1138</x:v>
      </x:c>
      <x:c r="C132" s="50" t="str">
        <x:v>Contactor Coil - Metric</x:v>
      </x:c>
      <x:c r="D132" s="50" t="str">
        <x:v>ELEC Controls</x:v>
      </x:c>
      <x:c r="E132" s="50" t="str">
        <x:v>WH-D-01-01</x:v>
      </x:c>
      <x:c r="F132" s="50" t="str">
        <x:v>each</x:v>
      </x:c>
      <x:c r="G132" s="54" t="n">
        <x:v>65</x:v>
      </x:c>
      <x:c r="H132" s="54" t="n">
        <x:v>15</x:v>
      </x:c>
      <x:c r="I132" s="52" t="n">
        <x:v>288.19</x:v>
      </x:c>
      <x:c r="J132" s="50" t="str">
        <x:v>Meridian Ind.</x:v>
      </x:c>
      <x:c r="K132" s="50" t="str">
        <x:v>2026-07-19</x:v>
      </x:c>
      <x:c r="L132" s="50" t="str">
        <x:v>Second source export / possible duplicate</x:v>
      </x:c>
    </x:row>
    <x:row r="133" ht="22" customHeight="1">
      <x:c r="A133" s="50" t="str">
        <x:v>IN-0128</x:v>
      </x:c>
      <x:c r="B133" s="50" t="str">
        <x:v>SP1201</x:v>
      </x:c>
      <x:c r="C133" s="50" t="str">
        <x:v>Warning Beacon - Heavy Duty</x:v>
      </x:c>
      <x:c r="D133" s="50" t="str">
        <x:v>Maintenance Safety</x:v>
      </x:c>
      <x:c r="E133" s="50" t="str">
        <x:v>WH-D-01-05</x:v>
      </x:c>
      <x:c r="F133" s="50" t="str">
        <x:v>each</x:v>
      </x:c>
      <x:c r="G133" s="54" t="n">
        <x:v>47</x:v>
      </x:c>
      <x:c r="H133" s="54" t="n">
        <x:v>7</x:v>
      </x:c>
      <x:c r="I133" s="52" t="n">
        <x:v>259.33</x:v>
      </x:c>
      <x:c r="J133" s="50" t="str">
        <x:v>REDGATE SUPPLY</x:v>
      </x:c>
      <x:c r="K133" s="50" t="str">
        <x:v>2026-07-28</x:v>
      </x:c>
      <x:c r="L133" s="50" t="str">
        <x:v>Second source export / possible duplicate</x:v>
      </x:c>
    </x:row>
    <x:row r="134" ht="22" customHeight="1">
      <x:c r="A134" s="50" t="str">
        <x:v>IN-0129</x:v>
      </x:c>
      <x:c r="B134" s="50" t="str">
        <x:v>SP-1116</x:v>
      </x:c>
      <x:c r="C134" s="50" t="str">
        <x:v> conveyor belt clip  -  standard </x:v>
      </x:c>
      <x:c r="D134" s="50" t="str">
        <x:v>Conveyors</x:v>
      </x:c>
      <x:c r="E134" s="50" t="str">
        <x:v>WH-C-02-04</x:v>
      </x:c>
      <x:c r="F134" s="50" t="str">
        <x:v>ea</x:v>
      </x:c>
      <x:c r="G134" s="54" t="n">
        <x:v>10</x:v>
      </x:c>
      <x:c r="H134" s="54" t="n">
        <x:v>9</x:v>
      </x:c>
      <x:c r="I134" s="52" t="n">
        <x:v>262.92</x:v>
      </x:c>
      <x:c r="J134" s="50" t="str">
        <x:v>Redgate Supply</x:v>
      </x:c>
      <x:c r="K134" s="50" t="str">
        <x:v>2026-07-29</x:v>
      </x:c>
      <x:c r="L134" s="50" t="str">
        <x:v>Conflicting count/bin from secondary file</x:v>
      </x:c>
    </x:row>
    <x:row r="135" ht="22" customHeight="1">
      <x:c r="A135" s="50" t="str">
        <x:v>IN-0130</x:v>
      </x:c>
      <x:c r="B135" s="50" t="str">
        <x:v>SP 1152</x:v>
      </x:c>
      <x:c r="C135" s="50" t="str">
        <x:v>Gear Reducer Seal - Type B</x:v>
      </x:c>
      <x:c r="D135" s="50" t="str">
        <x:v>Motors &amp; Drives</x:v>
      </x:c>
      <x:c r="E135" s="50" t="str">
        <x:v>WH-C-02-04</x:v>
      </x:c>
      <x:c r="F135" s="50" t="str">
        <x:v>pcs</x:v>
      </x:c>
      <x:c r="G135" s="54" t="n">
        <x:v>51</x:v>
      </x:c>
      <x:c r="H135" s="54" t="n">
        <x:v>12</x:v>
      </x:c>
      <x:c r="I135" s="52" t="n">
        <x:v>186.06</x:v>
      </x:c>
      <x:c r="J135" s="50" t="str">
        <x:v>CANYON EQUIPMENT</x:v>
      </x:c>
      <x:c r="K135" s="50" t="str">
        <x:v>07/15/2026</x:v>
      </x:c>
      <x:c r="L135" s="50" t="str">
        <x:v>Conflicting count/bin from secondary file</x:v>
      </x:c>
    </x:row>
    <x:row r="136" ht="22" customHeight="1">
      <x:c r="A136" s="50" t="str">
        <x:v>IN-0131</x:v>
      </x:c>
      <x:c r="B136" s="50" t="str">
        <x:v>SP-1161</x:v>
      </x:c>
      <x:c r="C136" s="50" t="str">
        <x:v>Air Filter Regulator - Metric</x:v>
      </x:c>
      <x:c r="D136" s="50" t="str">
        <x:v>Pneumatics</x:v>
      </x:c>
      <x:c r="E136" s="50" t="str">
        <x:v>WH-C-02-04</x:v>
      </x:c>
      <x:c r="F136" s="50" t="str">
        <x:v>EA</x:v>
      </x:c>
      <x:c r="G136" s="54" t="n">
        <x:v>64</x:v>
      </x:c>
      <x:c r="H136" s="54" t="n">
        <x:v>17</x:v>
      </x:c>
      <x:c r="I136" s="52" t="n">
        <x:v>242.17</x:v>
      </x:c>
      <x:c r="J136" s="50" t="str">
        <x:v>Redgate Supply</x:v>
      </x:c>
      <x:c r="K136" s="50" t="str">
        <x:v>2026-08-03</x:v>
      </x:c>
      <x:c r="L136" s="50" t="str">
        <x:v>Conflicting count/bin from secondary file</x:v>
      </x:c>
    </x:row>
    <x:row r="137" ht="22" customHeight="1">
      <x:c r="A137" s="50" t="str">
        <x:v>IN-0132</x:v>
      </x:c>
      <x:c r="B137" s="50" t="str">
        <x:v>sp-1175</x:v>
      </x:c>
      <x:c r="C137" s="50" t="str">
        <x:v>Socket Head Cap Screw - Heavy Duty</x:v>
      </x:c>
      <x:c r="D137" s="50" t="str">
        <x:v>Hardware</x:v>
      </x:c>
      <x:c r="E137" s="50" t="str">
        <x:v>WH-C-02-04</x:v>
      </x:c>
      <x:c r="F137" s="50" t="str">
        <x:v>BOX</x:v>
      </x:c>
      <x:c r="G137" s="54" t="n">
        <x:v>54</x:v>
      </x:c>
      <x:c r="H137" s="54" t="n">
        <x:v>20</x:v>
      </x:c>
      <x:c r="I137" s="52" t="n">
        <x:v>371.85</x:v>
      </x:c>
      <x:c r="J137" s="50" t="str">
        <x:v>MERIDIAN INDUSTRIAL</x:v>
      </x:c>
      <x:c r="K137" s="50" t="str">
        <x:v>2026-07-09</x:v>
      </x:c>
      <x:c r="L137" s="50" t="str">
        <x:v>Conflicting count/bin from secondary file</x:v>
      </x:c>
    </x:row>
    <x:row r="138" ht="22" customHeight="1">
      <x:c r="A138" s="50" t="str">
        <x:v>IN-0133</x:v>
      </x:c>
      <x:c r="B138" s="50" t="str">
        <x:v>SP-1205</x:v>
      </x:c>
      <x:c r="C138" s="50" t="str">
        <x:v>Safety Sign Holder - Standard</x:v>
      </x:c>
      <x:c r="D138" s="50" t="str">
        <x:v>Safety &amp; Maintenance</x:v>
      </x:c>
      <x:c r="E138" s="50" t="str">
        <x:v>WH-C-02-04</x:v>
      </x:c>
      <x:c r="F138" s="50" t="str">
        <x:v>FT</x:v>
      </x:c>
      <x:c r="G138" s="54" t="n">
        <x:v>42</x:v>
      </x:c>
      <x:c r="H138" s="54" t="n">
        <x:v>21</x:v>
      </x:c>
      <x:c r="I138" s="52" t="n">
        <x:v>61.34</x:v>
      </x:c>
      <x:c r="J138" s="50" t="str">
        <x:v>Meridian Industrial</x:v>
      </x:c>
      <x:c r="K138" s="50" t="str">
        <x:v>2026-07-25</x:v>
      </x:c>
      <x:c r="L138" s="50" t="str">
        <x:v>Conflicting count/bin from secondary file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91485e61d07e445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38" hidden="0" customWidth="1"/>
    <x:col min="4" max="4" width="30" hidden="0" customWidth="1"/>
    <x:col min="5" max="5" width="18" hidden="0" customWidth="1"/>
    <x:col min="6" max="6" width="12" hidden="0" customWidth="1"/>
    <x:col min="7" max="7" width="13" hidden="0" customWidth="1"/>
    <x:col min="8" max="8" width="14" hidden="0" customWidth="1"/>
    <x:col min="9" max="9" width="16" hidden="0" customWidth="1"/>
    <x:col min="10" max="10" width="23" hidden="0" customWidth="1"/>
    <x:col min="11" max="11" width="17" hidden="0" customWidth="1"/>
    <x:col min="12" max="12" width="19" hidden="0" customWidth="1"/>
    <x:col min="13" max="13" width="13" hidden="0" customWidth="1"/>
    <x:col min="14" max="14" width="17" hidden="0" customWidth="1"/>
    <x:col min="15" max="15" width="17" hidden="0" customWidth="1"/>
    <x:col min="16" max="16" width="16" hidden="0" customWidth="1"/>
  </x:cols>
  <x:sheetData>
    <x:row r="1" ht="25" customHeight="1">
      <x:c r="A1" s="4" t="str">
        <x:v>CLEANED RECORDS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3" customHeight="1">
      <x:c r="A3" s="10" t="str">
        <x:v>One source row retained per input row  •  no guessed values or destructive SKU consolidation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5" customHeight="1">
      <x:c r="A5" s="44" t="str">
        <x:v>Source ID</x:v>
      </x:c>
      <x:c r="B5" s="44" t="str">
        <x:v>Normalized SKU</x:v>
      </x:c>
      <x:c r="C5" s="44" t="str">
        <x:v>Description</x:v>
      </x:c>
      <x:c r="D5" s="44" t="str">
        <x:v>Category</x:v>
      </x:c>
      <x:c r="E5" s="44" t="str">
        <x:v>Bin</x:v>
      </x:c>
      <x:c r="F5" s="44" t="str">
        <x:v>UOM</x:v>
      </x:c>
      <x:c r="G5" s="44" t="str">
        <x:v>On Hand</x:v>
      </x:c>
      <x:c r="H5" s="44" t="str">
        <x:v>Reorder Min</x:v>
      </x:c>
      <x:c r="I5" s="44" t="str">
        <x:v>Unit Cost</x:v>
      </x:c>
      <x:c r="J5" s="44" t="str">
        <x:v>Supplier</x:v>
      </x:c>
      <x:c r="K5" s="44" t="str">
        <x:v>Count Date</x:v>
      </x:c>
      <x:c r="L5" s="44" t="str">
        <x:v>Duplicate Group</x:v>
      </x:c>
      <x:c r="M5" s="44" t="str">
        <x:v>Issue Count</x:v>
      </x:c>
      <x:c r="N5" s="44" t="str">
        <x:v>Release Status</x:v>
      </x:c>
      <x:c r="O5" s="44" t="str">
        <x:v>Line Value</x:v>
      </x:c>
      <x:c r="P5" s="44" t="str">
        <x:v>Stock Signal</x:v>
      </x:c>
    </x:row>
    <x:row r="6" ht="22" customHeight="1">
      <x:c r="A6" s="50" t="str">
        <x:v>IN-0001</x:v>
      </x:c>
      <x:c r="B6" s="50" t="str">
        <x:v>SP-1101</x:v>
      </x:c>
      <x:c r="C6" s="50" t="str">
        <x:v>Pillow Block Bearing - Heavy Duty</x:v>
      </x:c>
      <x:c r="D6" s="50" t="str">
        <x:v>Bearings &amp; Power Transmission</x:v>
      </x:c>
      <x:c r="E6" s="50" t="str">
        <x:v>WH-D-01-01</x:v>
      </x:c>
      <x:c r="F6" s="50" t="str">
        <x:v>PAIR</x:v>
      </x:c>
      <x:c r="G6" s="50" t="n">
        <x:v>29</x:v>
      </x:c>
      <x:c r="H6" s="50" t="n">
        <x:v>19</x:v>
      </x:c>
      <x:c r="I6" s="52" t="n">
        <x:v>268.41</x:v>
      </x:c>
      <x:c r="J6" s="50" t="str">
        <x:v>Meridian Industrial</x:v>
      </x:c>
      <x:c r="K6" s="50" t="str">
        <x:v>2026-07-22</x:v>
      </x:c>
      <x:c r="L6" s="50" t="str"/>
      <x:c r="M6" s="50" t="n">
        <x:v>0</x:v>
      </x:c>
      <x:c r="N6" s="50" t="str">
        <x:f>IF(M6&gt;0,"REVIEW","READY")</x:f>
        <x:v>READY</x:v>
      </x:c>
      <x:c r="O6" s="52" t="n">
        <x:f>IF(AND(ISNUMBER(G6),G6&gt;=0,ISNUMBER(I6),I6&gt;=0),G6*I6,"")</x:f>
        <x:v>7783.89</x:v>
      </x:c>
      <x:c r="P6" s="50" t="str">
        <x:f>IF(N6="REVIEW","CHECK",IF(AND(ISNUMBER(G6),ISNUMBER(H6)),IF(G6&lt;H6,"LOW","OK"),"CHECK"))</x:f>
        <x:v>OK</x:v>
      </x:c>
    </x:row>
    <x:row r="7" ht="22" customHeight="1">
      <x:c r="A7" s="50" t="str">
        <x:v>IN-0002</x:v>
      </x:c>
      <x:c r="B7" s="50" t="str">
        <x:v>SP-1102</x:v>
      </x:c>
      <x:c r="C7" s="50" t="str">
        <x:v>Deep Groove Bearing - Type B</x:v>
      </x:c>
      <x:c r="D7" s="50" t="str">
        <x:v>Bearings &amp; Power Transmission</x:v>
      </x:c>
      <x:c r="E7" s="50" t="str">
        <x:v>WH-C-02-03</x:v>
      </x:c>
      <x:c r="F7" s="50" t="str">
        <x:v>EA</x:v>
      </x:c>
      <x:c r="G7" s="50" t="n">
        <x:v>68</x:v>
      </x:c>
      <x:c r="H7" s="50" t="n">
        <x:v>18</x:v>
      </x:c>
      <x:c r="I7" s="52" t="n">
        <x:v>166.98</x:v>
      </x:c>
      <x:c r="J7" s="50" t="str">
        <x:v>Meridian Industrial</x:v>
      </x:c>
      <x:c r="K7" s="50" t="str">
        <x:v>2026-07-14</x:v>
      </x:c>
      <x:c r="L7" s="50" t="str"/>
      <x:c r="M7" s="50" t="n">
        <x:v>0</x:v>
      </x:c>
      <x:c r="N7" s="50" t="str">
        <x:f>IF(M7&gt;0,"REVIEW","READY")</x:f>
        <x:v>READY</x:v>
      </x:c>
      <x:c r="O7" s="52" t="n">
        <x:f>IF(AND(ISNUMBER(G7),G7&gt;=0,ISNUMBER(I7),I7&gt;=0),G7*I7,"")</x:f>
        <x:v>11354.64</x:v>
      </x:c>
      <x:c r="P7" s="50" t="str">
        <x:f>IF(N7="REVIEW","CHECK",IF(AND(ISNUMBER(G7),ISNUMBER(H7)),IF(G7&lt;H7,"LOW","OK"),"CHECK"))</x:f>
        <x:v>OK</x:v>
      </x:c>
    </x:row>
    <x:row r="8" ht="22" customHeight="1">
      <x:c r="A8" s="50" t="str">
        <x:v>IN-0003</x:v>
      </x:c>
      <x:c r="B8" s="50" t="str">
        <x:v>SP-1103</x:v>
      </x:c>
      <x:c r="C8" s="50" t="str">
        <x:v>Roller Chain - Series 2</x:v>
      </x:c>
      <x:c r="D8" s="50" t="str">
        <x:v>Bearings &amp; Power Transmission</x:v>
      </x:c>
      <x:c r="E8" s="50" t="str">
        <x:v>WH-A-01-02</x:v>
      </x:c>
      <x:c r="F8" s="50" t="str">
        <x:v>EA</x:v>
      </x:c>
      <x:c r="G8" s="50" t="n">
        <x:v>59</x:v>
      </x:c>
      <x:c r="H8" s="50" t="n">
        <x:v>21</x:v>
      </x:c>
      <x:c r="I8" s="52" t="n">
        <x:v>73.64</x:v>
      </x:c>
      <x:c r="J8" s="50" t="str">
        <x:v>North Forge Parts</x:v>
      </x:c>
      <x:c r="K8" s="50" t="str">
        <x:v>2026-08-30</x:v>
      </x:c>
      <x:c r="L8" s="50" t="str"/>
      <x:c r="M8" s="50" t="n">
        <x:v>0</x:v>
      </x:c>
      <x:c r="N8" s="50" t="str">
        <x:f>IF(M8&gt;0,"REVIEW","READY")</x:f>
        <x:v>READY</x:v>
      </x:c>
      <x:c r="O8" s="52" t="n">
        <x:f>IF(AND(ISNUMBER(G8),G8&gt;=0,ISNUMBER(I8),I8&gt;=0),G8*I8,"")</x:f>
        <x:v>4344.76</x:v>
      </x:c>
      <x:c r="P8" s="50" t="str">
        <x:f>IF(N8="REVIEW","CHECK",IF(AND(ISNUMBER(G8),ISNUMBER(H8)),IF(G8&lt;H8,"LOW","OK"),"CHECK"))</x:f>
        <x:v>OK</x:v>
      </x:c>
    </x:row>
    <x:row r="9" ht="22" customHeight="1">
      <x:c r="A9" s="50" t="str">
        <x:v>IN-0004</x:v>
      </x:c>
      <x:c r="B9" s="50" t="str">
        <x:v>SP-1104</x:v>
      </x:c>
      <x:c r="C9" s="50" t="str">
        <x:v>V-Belt - Heavy Duty</x:v>
      </x:c>
      <x:c r="D9" s="50" t="str">
        <x:v>Bearings &amp; Power Transmission</x:v>
      </x:c>
      <x:c r="E9" s="50" t="str">
        <x:v>WH-C-01-01</x:v>
      </x:c>
      <x:c r="F9" s="50" t="str">
        <x:v>PAIR</x:v>
      </x:c>
      <x:c r="G9" s="50" t="n">
        <x:v>59</x:v>
      </x:c>
      <x:c r="H9" s="50" t="n">
        <x:v>4</x:v>
      </x:c>
      <x:c r="I9" s="52" t="n">
        <x:v>116.55</x:v>
      </x:c>
      <x:c r="J9" s="50" t="str">
        <x:v>Meridian Industrial</x:v>
      </x:c>
      <x:c r="K9" s="50" t="str">
        <x:v>2026-07-18</x:v>
      </x:c>
      <x:c r="L9" s="50" t="str"/>
      <x:c r="M9" s="50" t="n">
        <x:v>0</x:v>
      </x:c>
      <x:c r="N9" s="50" t="str">
        <x:f>IF(M9&gt;0,"REVIEW","READY")</x:f>
        <x:v>READY</x:v>
      </x:c>
      <x:c r="O9" s="52" t="n">
        <x:f>IF(AND(ISNUMBER(G9),G9&gt;=0,ISNUMBER(I9),I9&gt;=0),G9*I9,"")</x:f>
        <x:v>6876.45</x:v>
      </x:c>
      <x:c r="P9" s="50" t="str">
        <x:f>IF(N9="REVIEW","CHECK",IF(AND(ISNUMBER(G9),ISNUMBER(H9)),IF(G9&lt;H9,"LOW","OK"),"CHECK"))</x:f>
        <x:v>OK</x:v>
      </x:c>
    </x:row>
    <x:row r="10" ht="22" customHeight="1">
      <x:c r="A10" s="50" t="str">
        <x:v>IN-0005</x:v>
      </x:c>
      <x:c r="B10" s="50" t="str">
        <x:v>SP-1105</x:v>
      </x:c>
      <x:c r="C10" s="50" t="str">
        <x:v>Drive Pulley - Heavy Duty</x:v>
      </x:c>
      <x:c r="D10" s="50" t="str">
        <x:v>Bearings &amp; Power Transmission</x:v>
      </x:c>
      <x:c r="E10" s="50" t="str">
        <x:v>WH-D-04-03</x:v>
      </x:c>
      <x:c r="F10" s="50" t="str">
        <x:v>BOX</x:v>
      </x:c>
      <x:c r="G10" s="50" t="n">
        <x:v>77</x:v>
      </x:c>
      <x:c r="H10" s="50" t="n">
        <x:v>7</x:v>
      </x:c>
      <x:c r="I10" s="52" t="n">
        <x:v>362.55</x:v>
      </x:c>
      <x:c r="J10" s="50" t="str">
        <x:v>Canyon Equipment</x:v>
      </x:c>
      <x:c r="K10" s="50" t="str">
        <x:v>2026-09-16</x:v>
      </x:c>
      <x:c r="L10" s="50" t="str">
        <x:v>SP-1105</x:v>
      </x:c>
      <x:c r="M10" s="50" t="n">
        <x:v>1</x:v>
      </x:c>
      <x:c r="N10" s="50" t="str">
        <x:f>IF(M10&gt;0,"REVIEW","READY")</x:f>
        <x:v>REVIEW</x:v>
      </x:c>
      <x:c r="O10" s="52" t="n">
        <x:f>IF(AND(ISNUMBER(G10),G10&gt;=0,ISNUMBER(I10),I10&gt;=0),G10*I10,"")</x:f>
        <x:v>27916.350000000002</x:v>
      </x:c>
      <x:c r="P10" s="50" t="str">
        <x:f>IF(N10="REVIEW","CHECK",IF(AND(ISNUMBER(G10),ISNUMBER(H10)),IF(G10&lt;H10,"LOW","OK"),"CHECK"))</x:f>
        <x:v>CHECK</x:v>
      </x:c>
    </x:row>
    <x:row r="11" ht="22" customHeight="1">
      <x:c r="A11" s="50" t="str">
        <x:v>IN-0006</x:v>
      </x:c>
      <x:c r="B11" s="50" t="str">
        <x:v>SP-1106</x:v>
      </x:c>
      <x:c r="C11" s="50" t="str">
        <x:v>Shaft Coupling - Standard</x:v>
      </x:c>
      <x:c r="D11" s="50" t="str">
        <x:v>Bearings &amp; Power Transmission</x:v>
      </x:c>
      <x:c r="E11" s="50" t="str">
        <x:v>WH-C-03-01</x:v>
      </x:c>
      <x:c r="F11" s="50" t="str">
        <x:v>EA</x:v>
      </x:c>
      <x:c r="G11" s="50" t="n">
        <x:v>38</x:v>
      </x:c>
      <x:c r="H11" s="50" t="n">
        <x:v>15</x:v>
      </x:c>
      <x:c r="I11" s="52" t="n">
        <x:v>128.69</x:v>
      </x:c>
      <x:c r="J11" s="50" t="str">
        <x:v>Meridian Industrial</x:v>
      </x:c>
      <x:c r="K11" s="50" t="str">
        <x:v>2026-07-12</x:v>
      </x:c>
      <x:c r="L11" s="50" t="str"/>
      <x:c r="M11" s="50" t="n">
        <x:v>0</x:v>
      </x:c>
      <x:c r="N11" s="50" t="str">
        <x:f>IF(M11&gt;0,"REVIEW","READY")</x:f>
        <x:v>READY</x:v>
      </x:c>
      <x:c r="O11" s="52" t="n">
        <x:f>IF(AND(ISNUMBER(G11),G11&gt;=0,ISNUMBER(I11),I11&gt;=0),G11*I11,"")</x:f>
        <x:v>4890.22</x:v>
      </x:c>
      <x:c r="P11" s="50" t="str">
        <x:f>IF(N11="REVIEW","CHECK",IF(AND(ISNUMBER(G11),ISNUMBER(H11)),IF(G11&lt;H11,"LOW","OK"),"CHECK"))</x:f>
        <x:v>OK</x:v>
      </x:c>
    </x:row>
    <x:row r="12" ht="22" customHeight="1">
      <x:c r="A12" s="50" t="str">
        <x:v>IN-0007</x:v>
      </x:c>
      <x:c r="B12" s="50" t="str">
        <x:v>SP-1107</x:v>
      </x:c>
      <x:c r="C12" s="50" t="str">
        <x:v>Chain Tensioner - Metric</x:v>
      </x:c>
      <x:c r="D12" s="50" t="str">
        <x:v>Bearings &amp; Power Transmission</x:v>
      </x:c>
      <x:c r="E12" s="50" t="str">
        <x:v>WH-C-03-04</x:v>
      </x:c>
      <x:c r="F12" s="50" t="str">
        <x:v>FT</x:v>
      </x:c>
      <x:c r="G12" s="50"/>
      <x:c r="H12" s="50" t="n">
        <x:v>15</x:v>
      </x:c>
      <x:c r="I12" s="52" t="n">
        <x:v>387.34</x:v>
      </x:c>
      <x:c r="J12" s="50" t="str">
        <x:v>North Forge Parts</x:v>
      </x:c>
      <x:c r="K12" s="50" t="str">
        <x:v>2026-08-24</x:v>
      </x:c>
      <x:c r="L12" s="50" t="str"/>
      <x:c r="M12" s="50" t="n">
        <x:v>1</x:v>
      </x:c>
      <x:c r="N12" s="50" t="str">
        <x:f>IF(M12&gt;0,"REVIEW","READY")</x:f>
        <x:v>REVIEW</x:v>
      </x:c>
      <x:c r="O12" s="52" t="str">
        <x:f>IF(AND(ISNUMBER(G12),G12&gt;=0,ISNUMBER(I12),I12&gt;=0),G12*I12,"")</x:f>
      </x:c>
      <x:c r="P12" s="50" t="str">
        <x:f>IF(N12="REVIEW","CHECK",IF(AND(ISNUMBER(G12),ISNUMBER(H12)),IF(G12&lt;H12,"LOW","OK"),"CHECK"))</x:f>
        <x:v>CHECK</x:v>
      </x:c>
    </x:row>
    <x:row r="13" ht="22" customHeight="1">
      <x:c r="A13" s="50" t="str">
        <x:v>IN-0008</x:v>
      </x:c>
      <x:c r="B13" s="50" t="str">
        <x:v>SP-1108</x:v>
      </x:c>
      <x:c r="C13" s="50" t="str">
        <x:v>taper lock bushing - standard</x:v>
      </x:c>
      <x:c r="D13" s="50" t="str">
        <x:v>Bearings &amp; Power Transmission</x:v>
      </x:c>
      <x:c r="E13" s="50" t="str">
        <x:v>WH-B-02-04</x:v>
      </x:c>
      <x:c r="F13" s="50" t="str">
        <x:v>EA</x:v>
      </x:c>
      <x:c r="G13" s="50" t="n">
        <x:v>90</x:v>
      </x:c>
      <x:c r="H13" s="50" t="n">
        <x:v>13</x:v>
      </x:c>
      <x:c r="I13" s="52" t="n">
        <x:v>140.44</x:v>
      </x:c>
      <x:c r="J13" s="50" t="str">
        <x:v>Meridian Industrial</x:v>
      </x:c>
      <x:c r="K13" s="50" t="str">
        <x:v>2026-09-08</x:v>
      </x:c>
      <x:c r="L13" s="50" t="str"/>
      <x:c r="M13" s="50" t="n">
        <x:v>0</x:v>
      </x:c>
      <x:c r="N13" s="50" t="str">
        <x:f>IF(M13&gt;0,"REVIEW","READY")</x:f>
        <x:v>READY</x:v>
      </x:c>
      <x:c r="O13" s="52" t="n">
        <x:f>IF(AND(ISNUMBER(G13),G13&gt;=0,ISNUMBER(I13),I13&gt;=0),G13*I13,"")</x:f>
        <x:v>12639.6</x:v>
      </x:c>
      <x:c r="P13" s="50" t="str">
        <x:f>IF(N13="REVIEW","CHECK",IF(AND(ISNUMBER(G13),ISNUMBER(H13)),IF(G13&lt;H13,"LOW","OK"),"CHECK"))</x:f>
        <x:v>OK</x:v>
      </x:c>
    </x:row>
    <x:row r="14" ht="22" customHeight="1">
      <x:c r="A14" s="50" t="str">
        <x:v>IN-0009</x:v>
      </x:c>
      <x:c r="B14" s="50" t="str">
        <x:v>SP-1109</x:v>
      </x:c>
      <x:c r="C14" s="50" t="str">
        <x:v>Idler Sprocket - Series 2</x:v>
      </x:c>
      <x:c r="D14" s="50" t="str">
        <x:v>Bearings &amp; Power Transmission</x:v>
      </x:c>
      <x:c r="E14" s="50" t="str">
        <x:v>WH-B-04-04</x:v>
      </x:c>
      <x:c r="F14" s="50" t="str">
        <x:v>BOX</x:v>
      </x:c>
      <x:c r="G14" s="50" t="n">
        <x:v>67</x:v>
      </x:c>
      <x:c r="H14" s="50" t="n">
        <x:v>5</x:v>
      </x:c>
      <x:c r="I14" s="52" t="n">
        <x:v>234.71</x:v>
      </x:c>
      <x:c r="J14" s="50" t="str">
        <x:v>Meridian Industrial</x:v>
      </x:c>
      <x:c r="K14" s="50" t="str">
        <x:v>2026-09-23</x:v>
      </x:c>
      <x:c r="L14" s="50" t="str"/>
      <x:c r="M14" s="50" t="n">
        <x:v>0</x:v>
      </x:c>
      <x:c r="N14" s="50" t="str">
        <x:f>IF(M14&gt;0,"REVIEW","READY")</x:f>
        <x:v>READY</x:v>
      </x:c>
      <x:c r="O14" s="52" t="n">
        <x:f>IF(AND(ISNUMBER(G14),G14&gt;=0,ISNUMBER(I14),I14&gt;=0),G14*I14,"")</x:f>
        <x:v>15725.57</x:v>
      </x:c>
      <x:c r="P14" s="50" t="str">
        <x:f>IF(N14="REVIEW","CHECK",IF(AND(ISNUMBER(G14),ISNUMBER(H14)),IF(G14&lt;H14,"LOW","OK"),"CHECK"))</x:f>
        <x:v>OK</x:v>
      </x:c>
    </x:row>
    <x:row r="15" ht="22" customHeight="1">
      <x:c r="A15" s="50" t="str">
        <x:v>IN-0010</x:v>
      </x:c>
      <x:c r="B15" s="50" t="str">
        <x:v>SP-1110</x:v>
      </x:c>
      <x:c r="C15" s="50" t="str">
        <x:v>Flange Bearing - Metric</x:v>
      </x:c>
      <x:c r="D15" s="50" t="str">
        <x:v>Bearings &amp; Power Transmission</x:v>
      </x:c>
      <x:c r="E15" s="50" t="str">
        <x:v>WH-D-01-02</x:v>
      </x:c>
      <x:c r="F15" s="50" t="str">
        <x:v>EA</x:v>
      </x:c>
      <x:c r="G15" s="50" t="n">
        <x:v>13</x:v>
      </x:c>
      <x:c r="H15" s="50" t="n">
        <x:v>22</x:v>
      </x:c>
      <x:c r="I15" s="52" t="n">
        <x:v>262.89</x:v>
      </x:c>
      <x:c r="J15" s="50" t="str">
        <x:v>Meridian Industrial</x:v>
      </x:c>
      <x:c r="K15" s="50" t="str">
        <x:v>2026-08-24</x:v>
      </x:c>
      <x:c r="L15" s="50" t="str"/>
      <x:c r="M15" s="50" t="n">
        <x:v>0</x:v>
      </x:c>
      <x:c r="N15" s="50" t="str">
        <x:f>IF(M15&gt;0,"REVIEW","READY")</x:f>
        <x:v>READY</x:v>
      </x:c>
      <x:c r="O15" s="52" t="n">
        <x:f>IF(AND(ISNUMBER(G15),G15&gt;=0,ISNUMBER(I15),I15&gt;=0),G15*I15,"")</x:f>
        <x:v>3417.5699999999997</x:v>
      </x:c>
      <x:c r="P15" s="50" t="str">
        <x:f>IF(N15="REVIEW","CHECK",IF(AND(ISNUMBER(G15),ISNUMBER(H15)),IF(G15&lt;H15,"LOW","OK"),"CHECK"))</x:f>
        <x:v>LOW</x:v>
      </x:c>
    </x:row>
    <x:row r="16" ht="22" customHeight="1">
      <x:c r="A16" s="50" t="str">
        <x:v>IN-0011</x:v>
      </x:c>
      <x:c r="B16" s="50" t="str">
        <x:v>SP-1111</x:v>
      </x:c>
      <x:c r="C16" s="50" t="str">
        <x:v>Motor Key Stock - Heavy Duty</x:v>
      </x:c>
      <x:c r="D16" s="50" t="str">
        <x:v>Bearings &amp; Power Transmission</x:v>
      </x:c>
      <x:c r="E16" s="50" t="str">
        <x:v>WH-D-02-02</x:v>
      </x:c>
      <x:c r="F16" s="50" t="str">
        <x:v>BOX</x:v>
      </x:c>
      <x:c r="G16" s="50" t="n">
        <x:v>39</x:v>
      </x:c>
      <x:c r="H16" s="50" t="n">
        <x:v>4</x:v>
      </x:c>
      <x:c r="I16" s="52" t="n">
        <x:v>25.89</x:v>
      </x:c>
      <x:c r="J16" s="50" t="str">
        <x:v>Meridian Industrial</x:v>
      </x:c>
      <x:c r="K16" s="50" t="str">
        <x:v>2026-07-24</x:v>
      </x:c>
      <x:c r="L16" s="50" t="str"/>
      <x:c r="M16" s="50" t="n">
        <x:v>0</x:v>
      </x:c>
      <x:c r="N16" s="50" t="str">
        <x:f>IF(M16&gt;0,"REVIEW","READY")</x:f>
        <x:v>READY</x:v>
      </x:c>
      <x:c r="O16" s="52" t="n">
        <x:f>IF(AND(ISNUMBER(G16),G16&gt;=0,ISNUMBER(I16),I16&gt;=0),G16*I16,"")</x:f>
        <x:v>1009.71</x:v>
      </x:c>
      <x:c r="P16" s="50" t="str">
        <x:f>IF(N16="REVIEW","CHECK",IF(AND(ISNUMBER(G16),ISNUMBER(H16)),IF(G16&lt;H16,"LOW","OK"),"CHECK"))</x:f>
        <x:v>OK</x:v>
      </x:c>
    </x:row>
    <x:row r="17" ht="22" customHeight="1">
      <x:c r="A17" s="50" t="str">
        <x:v>IN-0012</x:v>
      </x:c>
      <x:c r="B17" s="50" t="str">
        <x:v>SP-??</x:v>
      </x:c>
      <x:c r="C17" s="50" t="str">
        <x:v>Drive Sheave - Standard</x:v>
      </x:c>
      <x:c r="D17" s="50" t="str">
        <x:v>Bearings &amp; Power Transmission</x:v>
      </x:c>
      <x:c r="E17" s="50" t="str">
        <x:v>WH-B-02-05</x:v>
      </x:c>
      <x:c r="F17" s="50" t="str">
        <x:v>EA</x:v>
      </x:c>
      <x:c r="G17" s="50" t="n">
        <x:v>37</x:v>
      </x:c>
      <x:c r="H17" s="50" t="n">
        <x:v>16</x:v>
      </x:c>
      <x:c r="I17" s="52" t="n">
        <x:v>37.91</x:v>
      </x:c>
      <x:c r="J17" s="50" t="str">
        <x:v>Canyon Equipment</x:v>
      </x:c>
      <x:c r="K17" s="50" t="str">
        <x:v>2026-07-08</x:v>
      </x:c>
      <x:c r="L17" s="50" t="str"/>
      <x:c r="M17" s="50" t="n">
        <x:v>1</x:v>
      </x:c>
      <x:c r="N17" s="50" t="str">
        <x:f>IF(M17&gt;0,"REVIEW","READY")</x:f>
        <x:v>REVIEW</x:v>
      </x:c>
      <x:c r="O17" s="52" t="n">
        <x:f>IF(AND(ISNUMBER(G17),G17&gt;=0,ISNUMBER(I17),I17&gt;=0),G17*I17,"")</x:f>
        <x:v>1402.6699999999998</x:v>
      </x:c>
      <x:c r="P17" s="50" t="str">
        <x:f>IF(N17="REVIEW","CHECK",IF(AND(ISNUMBER(G17),ISNUMBER(H17)),IF(G17&lt;H17,"LOW","OK"),"CHECK"))</x:f>
        <x:v>CHECK</x:v>
      </x:c>
    </x:row>
    <x:row r="18" ht="22" customHeight="1">
      <x:c r="A18" s="50" t="str">
        <x:v>IN-0013</x:v>
      </x:c>
      <x:c r="B18" s="50" t="str">
        <x:v>SP-1113</x:v>
      </x:c>
      <x:c r="C18" s="50" t="str">
        <x:v>Return Idler Roller - Type B</x:v>
      </x:c>
      <x:c r="D18" s="50" t="str">
        <x:v>Conveyor Systems</x:v>
      </x:c>
      <x:c r="E18" s="50" t="str">
        <x:v>WH-B-03-05</x:v>
      </x:c>
      <x:c r="F18" s="50" t="str">
        <x:v>EA</x:v>
      </x:c>
      <x:c r="G18" s="50" t="n">
        <x:v>44</x:v>
      </x:c>
      <x:c r="H18" s="50" t="n">
        <x:v>11</x:v>
      </x:c>
      <x:c r="I18" s="52" t="n">
        <x:v>329.84</x:v>
      </x:c>
      <x:c r="J18" s="50" t="str">
        <x:v>Meridian Industrial</x:v>
      </x:c>
      <x:c r="K18" s="50" t="str">
        <x:v>2026-08-31</x:v>
      </x:c>
      <x:c r="L18" s="50" t="str"/>
      <x:c r="M18" s="50" t="n">
        <x:v>0</x:v>
      </x:c>
      <x:c r="N18" s="50" t="str">
        <x:f>IF(M18&gt;0,"REVIEW","READY")</x:f>
        <x:v>READY</x:v>
      </x:c>
      <x:c r="O18" s="52" t="n">
        <x:f>IF(AND(ISNUMBER(G18),G18&gt;=0,ISNUMBER(I18),I18&gt;=0),G18*I18,"")</x:f>
        <x:v>14512.96</x:v>
      </x:c>
      <x:c r="P18" s="50" t="str">
        <x:f>IF(N18="REVIEW","CHECK",IF(AND(ISNUMBER(G18),ISNUMBER(H18)),IF(G18&lt;H18,"LOW","OK"),"CHECK"))</x:f>
        <x:v>OK</x:v>
      </x:c>
    </x:row>
    <x:row r="19" ht="22" customHeight="1">
      <x:c r="A19" s="50" t="str">
        <x:v>IN-0014</x:v>
      </x:c>
      <x:c r="B19" s="50" t="str">
        <x:v>SP-1114</x:v>
      </x:c>
      <x:c r="C19" s="50" t="str">
        <x:v>Impact Roller - Series 2</x:v>
      </x:c>
      <x:c r="D19" s="50" t="str">
        <x:v>Conveyor Systems</x:v>
      </x:c>
      <x:c r="E19" s="50" t="str">
        <x:v>WH-C-02-03</x:v>
      </x:c>
      <x:c r="F19" s="50" t="str">
        <x:v>EA</x:v>
      </x:c>
      <x:c r="G19" s="50" t="n">
        <x:v>11</x:v>
      </x:c>
      <x:c r="H19" s="50" t="n">
        <x:v>4</x:v>
      </x:c>
      <x:c r="I19" s="52" t="n">
        <x:v>250.6</x:v>
      </x:c>
      <x:c r="J19" s="50" t="str">
        <x:v>Canyon Equipment</x:v>
      </x:c>
      <x:c r="K19" s="50" t="str">
        <x:v>2026-09-04</x:v>
      </x:c>
      <x:c r="L19" s="50" t="str"/>
      <x:c r="M19" s="50" t="n">
        <x:v>0</x:v>
      </x:c>
      <x:c r="N19" s="50" t="str">
        <x:f>IF(M19&gt;0,"REVIEW","READY")</x:f>
        <x:v>READY</x:v>
      </x:c>
      <x:c r="O19" s="52" t="n">
        <x:f>IF(AND(ISNUMBER(G19),G19&gt;=0,ISNUMBER(I19),I19&gt;=0),G19*I19,"")</x:f>
        <x:v>2756.6</x:v>
      </x:c>
      <x:c r="P19" s="50" t="str">
        <x:f>IF(N19="REVIEW","CHECK",IF(AND(ISNUMBER(G19),ISNUMBER(H19)),IF(G19&lt;H19,"LOW","OK"),"CHECK"))</x:f>
        <x:v>OK</x:v>
      </x:c>
    </x:row>
    <x:row r="20" ht="22" customHeight="1">
      <x:c r="A20" s="50" t="str">
        <x:v>IN-0015</x:v>
      </x:c>
      <x:c r="B20" s="50" t="str">
        <x:v>SP-1115</x:v>
      </x:c>
      <x:c r="C20" s="50" t="str">
        <x:v>Belt Scraper Blade - Series 2</x:v>
      </x:c>
      <x:c r="D20" s="50" t="str">
        <x:v>Conveyor Systems</x:v>
      </x:c>
      <x:c r="E20" s="50" t="str">
        <x:v>WH-A-04-04</x:v>
      </x:c>
      <x:c r="F20" s="50" t="str">
        <x:v>EA</x:v>
      </x:c>
      <x:c r="G20" s="50"/>
      <x:c r="H20" s="50" t="n">
        <x:v>10</x:v>
      </x:c>
      <x:c r="I20" s="52" t="n">
        <x:v>106.05</x:v>
      </x:c>
      <x:c r="J20" s="50" t="str">
        <x:v>Canyon Equipment</x:v>
      </x:c>
      <x:c r="K20" s="50" t="str">
        <x:v>2026-09-20</x:v>
      </x:c>
      <x:c r="L20" s="50" t="str"/>
      <x:c r="M20" s="50" t="n">
        <x:v>1</x:v>
      </x:c>
      <x:c r="N20" s="50" t="str">
        <x:f>IF(M20&gt;0,"REVIEW","READY")</x:f>
        <x:v>REVIEW</x:v>
      </x:c>
      <x:c r="O20" s="52" t="str">
        <x:f>IF(AND(ISNUMBER(G20),G20&gt;=0,ISNUMBER(I20),I20&gt;=0),G20*I20,"")</x:f>
      </x:c>
      <x:c r="P20" s="50" t="str">
        <x:f>IF(N20="REVIEW","CHECK",IF(AND(ISNUMBER(G20),ISNUMBER(H20)),IF(G20&lt;H20,"LOW","OK"),"CHECK"))</x:f>
        <x:v>CHECK</x:v>
      </x:c>
    </x:row>
    <x:row r="21" ht="22" customHeight="1">
      <x:c r="A21" s="50" t="str">
        <x:v>IN-0016</x:v>
      </x:c>
      <x:c r="B21" s="50" t="str">
        <x:v>SP-1116</x:v>
      </x:c>
      <x:c r="C21" s="50" t="str">
        <x:v>conveyor belt clip - standard</x:v>
      </x:c>
      <x:c r="D21" s="50" t="str">
        <x:v>Conveyor Systems</x:v>
      </x:c>
      <x:c r="E21" s="50" t="str">
        <x:v>WH-D-04-05</x:v>
      </x:c>
      <x:c r="F21" s="50" t="str">
        <x:v>EA</x:v>
      </x:c>
      <x:c r="G21" s="50" t="n">
        <x:v>2</x:v>
      </x:c>
      <x:c r="H21" s="50" t="n">
        <x:v>9</x:v>
      </x:c>
      <x:c r="I21" s="52" t="n">
        <x:v>262.92</x:v>
      </x:c>
      <x:c r="J21" s="50" t="str">
        <x:v>Redgate Supply</x:v>
      </x:c>
      <x:c r="K21" s="50" t="str">
        <x:v>2026-07-29</x:v>
      </x:c>
      <x:c r="L21" s="50" t="str">
        <x:v>SP-1116</x:v>
      </x:c>
      <x:c r="M21" s="50" t="n">
        <x:v>1</x:v>
      </x:c>
      <x:c r="N21" s="50" t="str">
        <x:f>IF(M21&gt;0,"REVIEW","READY")</x:f>
        <x:v>REVIEW</x:v>
      </x:c>
      <x:c r="O21" s="52" t="n">
        <x:f>IF(AND(ISNUMBER(G21),G21&gt;=0,ISNUMBER(I21),I21&gt;=0),G21*I21,"")</x:f>
        <x:v>525.84</x:v>
      </x:c>
      <x:c r="P21" s="50" t="str">
        <x:f>IF(N21="REVIEW","CHECK",IF(AND(ISNUMBER(G21),ISNUMBER(H21)),IF(G21&lt;H21,"LOW","OK"),"CHECK"))</x:f>
        <x:v>CHECK</x:v>
      </x:c>
    </x:row>
    <x:row r="22" ht="22" customHeight="1">
      <x:c r="A22" s="50" t="str">
        <x:v>IN-0017</x:v>
      </x:c>
      <x:c r="B22" s="50" t="str">
        <x:v>SP-1117</x:v>
      </x:c>
      <x:c r="C22" s="50" t="str">
        <x:v>Belt Tracking Roller - Metric</x:v>
      </x:c>
      <x:c r="D22" s="50" t="str">
        <x:v>Conveyor Systems</x:v>
      </x:c>
      <x:c r="E22" s="50" t="str">
        <x:v>WH-A-02-05</x:v>
      </x:c>
      <x:c r="F22" s="50" t="str">
        <x:v>PAIR</x:v>
      </x:c>
      <x:c r="G22" s="50" t="n">
        <x:v>47</x:v>
      </x:c>
      <x:c r="H22" s="50" t="n">
        <x:v>8</x:v>
      </x:c>
      <x:c r="I22" s="52" t="n">
        <x:v>184.74</x:v>
      </x:c>
      <x:c r="J22" s="50" t="str">
        <x:v>North Forge Parts</x:v>
      </x:c>
      <x:c r="K22" s="50" t="str">
        <x:v>2026-09-06</x:v>
      </x:c>
      <x:c r="L22" s="50" t="str"/>
      <x:c r="M22" s="50" t="n">
        <x:v>0</x:v>
      </x:c>
      <x:c r="N22" s="50" t="str">
        <x:f>IF(M22&gt;0,"REVIEW","READY")</x:f>
        <x:v>READY</x:v>
      </x:c>
      <x:c r="O22" s="52" t="n">
        <x:f>IF(AND(ISNUMBER(G22),G22&gt;=0,ISNUMBER(I22),I22&gt;=0),G22*I22,"")</x:f>
        <x:v>8682.78</x:v>
      </x:c>
      <x:c r="P22" s="50" t="str">
        <x:f>IF(N22="REVIEW","CHECK",IF(AND(ISNUMBER(G22),ISNUMBER(H22)),IF(G22&lt;H22,"LOW","OK"),"CHECK"))</x:f>
        <x:v>OK</x:v>
      </x:c>
    </x:row>
    <x:row r="23" ht="22" customHeight="1">
      <x:c r="A23" s="50" t="str">
        <x:v>IN-0018</x:v>
      </x:c>
      <x:c r="B23" s="50" t="str">
        <x:v>SP-1118</x:v>
      </x:c>
      <x:c r="C23" s="50" t="str">
        <x:v>Drive Drum Lining - Type B</x:v>
      </x:c>
      <x:c r="D23" s="50" t="str">
        <x:v>Conveyor Systems</x:v>
      </x:c>
      <x:c r="E23" s="50" t="str"/>
      <x:c r="F23" s="50" t="str">
        <x:v>FT</x:v>
      </x:c>
      <x:c r="G23" s="50" t="n">
        <x:v>68</x:v>
      </x:c>
      <x:c r="H23" s="50" t="n">
        <x:v>14</x:v>
      </x:c>
      <x:c r="I23" s="52" t="n">
        <x:v>49.81</x:v>
      </x:c>
      <x:c r="J23" s="50" t="str">
        <x:v>Canyon Equipment</x:v>
      </x:c>
      <x:c r="K23" s="50" t="str">
        <x:v>2026-08-13</x:v>
      </x:c>
      <x:c r="L23" s="50" t="str"/>
      <x:c r="M23" s="50" t="n">
        <x:v>1</x:v>
      </x:c>
      <x:c r="N23" s="50" t="str">
        <x:f>IF(M23&gt;0,"REVIEW","READY")</x:f>
        <x:v>REVIEW</x:v>
      </x:c>
      <x:c r="O23" s="52" t="n">
        <x:f>IF(AND(ISNUMBER(G23),G23&gt;=0,ISNUMBER(I23),I23&gt;=0),G23*I23,"")</x:f>
        <x:v>3387.08</x:v>
      </x:c>
      <x:c r="P23" s="50" t="str">
        <x:f>IF(N23="REVIEW","CHECK",IF(AND(ISNUMBER(G23),ISNUMBER(H23)),IF(G23&lt;H23,"LOW","OK"),"CHECK"))</x:f>
        <x:v>CHECK</x:v>
      </x:c>
    </x:row>
    <x:row r="24" ht="22" customHeight="1">
      <x:c r="A24" s="50" t="str">
        <x:v>IN-0019</x:v>
      </x:c>
      <x:c r="B24" s="50" t="str">
        <x:v>SP-1119</x:v>
      </x:c>
      <x:c r="C24" s="50" t="str">
        <x:v>Take-Up Spring - Standard</x:v>
      </x:c>
      <x:c r="D24" s="50" t="str">
        <x:v>Conveyor Systems</x:v>
      </x:c>
      <x:c r="E24" s="50" t="str">
        <x:v>WH-B-03-05</x:v>
      </x:c>
      <x:c r="F24" s="50" t="str">
        <x:v>EA</x:v>
      </x:c>
      <x:c r="G24" s="50" t="n">
        <x:v>49</x:v>
      </x:c>
      <x:c r="H24" s="50" t="n">
        <x:v>12</x:v>
      </x:c>
      <x:c r="I24" s="52" t="n">
        <x:v>208.9</x:v>
      </x:c>
      <x:c r="J24" s="50" t="str">
        <x:v>Meridian Industrial</x:v>
      </x:c>
      <x:c r="K24" s="50" t="str">
        <x:v>2026-08-12</x:v>
      </x:c>
      <x:c r="L24" s="50" t="str"/>
      <x:c r="M24" s="50" t="n">
        <x:v>0</x:v>
      </x:c>
      <x:c r="N24" s="50" t="str">
        <x:f>IF(M24&gt;0,"REVIEW","READY")</x:f>
        <x:v>READY</x:v>
      </x:c>
      <x:c r="O24" s="52" t="n">
        <x:f>IF(AND(ISNUMBER(G24),G24&gt;=0,ISNUMBER(I24),I24&gt;=0),G24*I24,"")</x:f>
        <x:v>10236.1</x:v>
      </x:c>
      <x:c r="P24" s="50" t="str">
        <x:f>IF(N24="REVIEW","CHECK",IF(AND(ISNUMBER(G24),ISNUMBER(H24)),IF(G24&lt;H24,"LOW","OK"),"CHECK"))</x:f>
        <x:v>OK</x:v>
      </x:c>
    </x:row>
    <x:row r="25" ht="22" customHeight="1">
      <x:c r="A25" s="50" t="str">
        <x:v>IN-0020</x:v>
      </x:c>
      <x:c r="B25" s="50" t="str">
        <x:v>SP-1120</x:v>
      </x:c>
      <x:c r="C25" s="50" t="str">
        <x:v>Skirt Rubber - Metric</x:v>
      </x:c>
      <x:c r="D25" s="50" t="str">
        <x:v>Conveyor Systems</x:v>
      </x:c>
      <x:c r="E25" s="50" t="str">
        <x:v>WH-A-02-05</x:v>
      </x:c>
      <x:c r="F25" s="50" t="str">
        <x:v>EA</x:v>
      </x:c>
      <x:c r="G25" s="50" t="n">
        <x:v>64</x:v>
      </x:c>
      <x:c r="H25" s="50" t="n">
        <x:v>21</x:v>
      </x:c>
      <x:c r="I25" s="52" t="n">
        <x:v>239.8</x:v>
      </x:c>
      <x:c r="J25" s="50" t="str">
        <x:v>Meridian Industrial</x:v>
      </x:c>
      <x:c r="K25" s="50" t="str">
        <x:v>2026-08-08</x:v>
      </x:c>
      <x:c r="L25" s="50" t="str"/>
      <x:c r="M25" s="50" t="n">
        <x:v>0</x:v>
      </x:c>
      <x:c r="N25" s="50" t="str">
        <x:f>IF(M25&gt;0,"REVIEW","READY")</x:f>
        <x:v>READY</x:v>
      </x:c>
      <x:c r="O25" s="52" t="n">
        <x:f>IF(AND(ISNUMBER(G25),G25&gt;=0,ISNUMBER(I25),I25&gt;=0),G25*I25,"")</x:f>
        <x:v>15347.2</x:v>
      </x:c>
      <x:c r="P25" s="50" t="str">
        <x:f>IF(N25="REVIEW","CHECK",IF(AND(ISNUMBER(G25),ISNUMBER(H25)),IF(G25&lt;H25,"LOW","OK"),"CHECK"))</x:f>
        <x:v>OK</x:v>
      </x:c>
    </x:row>
    <x:row r="26" ht="22" customHeight="1">
      <x:c r="A26" s="50" t="str">
        <x:v>IN-0021</x:v>
      </x:c>
      <x:c r="B26" s="50" t="str">
        <x:v>SP-1121</x:v>
      </x:c>
      <x:c r="C26" s="50" t="str">
        <x:v>Roller Bracket - Standard</x:v>
      </x:c>
      <x:c r="D26" s="50" t="str">
        <x:v>Conveyor Systems</x:v>
      </x:c>
      <x:c r="E26" s="50" t="str">
        <x:v>WH-D-01-05</x:v>
      </x:c>
      <x:c r="F26" s="50" t="str">
        <x:v>PAIR</x:v>
      </x:c>
      <x:c r="G26" s="50" t="n">
        <x:v>26</x:v>
      </x:c>
      <x:c r="H26" s="50" t="n">
        <x:v>-1</x:v>
      </x:c>
      <x:c r="I26" s="52" t="n">
        <x:v>229.64</x:v>
      </x:c>
      <x:c r="J26" s="50" t="str">
        <x:v>Redgate Supply</x:v>
      </x:c>
      <x:c r="K26" s="50" t="str">
        <x:v>2026-07-03</x:v>
      </x:c>
      <x:c r="L26" s="50" t="str"/>
      <x:c r="M26" s="50" t="n">
        <x:v>1</x:v>
      </x:c>
      <x:c r="N26" s="50" t="str">
        <x:f>IF(M26&gt;0,"REVIEW","READY")</x:f>
        <x:v>REVIEW</x:v>
      </x:c>
      <x:c r="O26" s="52" t="n">
        <x:f>IF(AND(ISNUMBER(G26),G26&gt;=0,ISNUMBER(I26),I26&gt;=0),G26*I26,"")</x:f>
        <x:v>5970.639999999999</x:v>
      </x:c>
      <x:c r="P26" s="50" t="str">
        <x:f>IF(N26="REVIEW","CHECK",IF(AND(ISNUMBER(G26),ISNUMBER(H26)),IF(G26&lt;H26,"LOW","OK"),"CHECK"))</x:f>
        <x:v>CHECK</x:v>
      </x:c>
    </x:row>
    <x:row r="27" ht="22" customHeight="1">
      <x:c r="A27" s="50" t="str">
        <x:v>IN-0022</x:v>
      </x:c>
      <x:c r="B27" s="50" t="str">
        <x:v>SP-1122</x:v>
      </x:c>
      <x:c r="C27" s="50" t="str">
        <x:v>Belt Cleaner Arm - Metric</x:v>
      </x:c>
      <x:c r="D27" s="50" t="str">
        <x:v>Conveyor Systems</x:v>
      </x:c>
      <x:c r="E27" s="50" t="str">
        <x:v>WH-B-04-01</x:v>
      </x:c>
      <x:c r="F27" s="50" t="str">
        <x:v>EA</x:v>
      </x:c>
      <x:c r="G27" s="50" t="n">
        <x:v>57</x:v>
      </x:c>
      <x:c r="H27" s="50" t="n">
        <x:v>14</x:v>
      </x:c>
      <x:c r="I27" s="52" t="n">
        <x:v>293.14</x:v>
      </x:c>
      <x:c r="J27" s="50" t="str">
        <x:v>Redgate Supply</x:v>
      </x:c>
      <x:c r="K27" s="50" t="str">
        <x:v>2026-07-26</x:v>
      </x:c>
      <x:c r="L27" s="50" t="str">
        <x:v>SP-1122</x:v>
      </x:c>
      <x:c r="M27" s="50" t="n">
        <x:v>1</x:v>
      </x:c>
      <x:c r="N27" s="50" t="str">
        <x:f>IF(M27&gt;0,"REVIEW","READY")</x:f>
        <x:v>REVIEW</x:v>
      </x:c>
      <x:c r="O27" s="52" t="n">
        <x:f>IF(AND(ISNUMBER(G27),G27&gt;=0,ISNUMBER(I27),I27&gt;=0),G27*I27,"")</x:f>
        <x:v>16708.98</x:v>
      </x:c>
      <x:c r="P27" s="50" t="str">
        <x:f>IF(N27="REVIEW","CHECK",IF(AND(ISNUMBER(G27),ISNUMBER(H27)),IF(G27&lt;H27,"LOW","OK"),"CHECK"))</x:f>
        <x:v>CHECK</x:v>
      </x:c>
    </x:row>
    <x:row r="28" ht="22" customHeight="1">
      <x:c r="A28" s="50" t="str">
        <x:v>IN-0023</x:v>
      </x:c>
      <x:c r="B28" s="50" t="str">
        <x:v>SP-1123</x:v>
      </x:c>
      <x:c r="C28" s="50" t="str">
        <x:v>Guard Panel - Standard</x:v>
      </x:c>
      <x:c r="D28" s="50" t="str">
        <x:v>Conveyor Systems</x:v>
      </x:c>
      <x:c r="E28" s="50" t="str">
        <x:v>WH-B-03-01</x:v>
      </x:c>
      <x:c r="F28" s="50" t="str">
        <x:v>FT</x:v>
      </x:c>
      <x:c r="G28" s="50" t="n">
        <x:v>20</x:v>
      </x:c>
      <x:c r="H28" s="50" t="n">
        <x:v>21</x:v>
      </x:c>
      <x:c r="I28" s="52" t="n">
        <x:v>120.77</x:v>
      </x:c>
      <x:c r="J28" s="50" t="str">
        <x:v>Meridian Industrial</x:v>
      </x:c>
      <x:c r="K28" s="50" t="str">
        <x:v>2026-07-07</x:v>
      </x:c>
      <x:c r="L28" s="50" t="str"/>
      <x:c r="M28" s="50" t="n">
        <x:v>0</x:v>
      </x:c>
      <x:c r="N28" s="50" t="str">
        <x:f>IF(M28&gt;0,"REVIEW","READY")</x:f>
        <x:v>READY</x:v>
      </x:c>
      <x:c r="O28" s="52" t="n">
        <x:f>IF(AND(ISNUMBER(G28),G28&gt;=0,ISNUMBER(I28),I28&gt;=0),G28*I28,"")</x:f>
        <x:v>2415.4</x:v>
      </x:c>
      <x:c r="P28" s="50" t="str">
        <x:f>IF(N28="REVIEW","CHECK",IF(AND(ISNUMBER(G28),ISNUMBER(H28)),IF(G28&lt;H28,"LOW","OK"),"CHECK"))</x:f>
        <x:v>LOW</x:v>
      </x:c>
    </x:row>
    <x:row r="29" ht="22" customHeight="1">
      <x:c r="A29" s="50" t="str">
        <x:v>IN-0024</x:v>
      </x:c>
      <x:c r="B29" s="50" t="str">
        <x:v>SP-1124</x:v>
      </x:c>
      <x:c r="C29" s="50" t="str">
        <x:v>splice plate - metric</x:v>
      </x:c>
      <x:c r="D29" s="50" t="str">
        <x:v>Conveyor Systems</x:v>
      </x:c>
      <x:c r="E29" s="50" t="str">
        <x:v>WH-C-03-03</x:v>
      </x:c>
      <x:c r="F29" s="50" t="str">
        <x:v>EA</x:v>
      </x:c>
      <x:c r="G29" s="50" t="n">
        <x:v>67</x:v>
      </x:c>
      <x:c r="H29" s="50" t="n">
        <x:v>17</x:v>
      </x:c>
      <x:c r="I29" s="52" t="n">
        <x:v>41.8</x:v>
      </x:c>
      <x:c r="J29" s="50" t="str">
        <x:v>Canyon Equipment</x:v>
      </x:c>
      <x:c r="K29" s="50" t="str">
        <x:v>2026-07-18</x:v>
      </x:c>
      <x:c r="L29" s="50" t="str"/>
      <x:c r="M29" s="50" t="n">
        <x:v>0</x:v>
      </x:c>
      <x:c r="N29" s="50" t="str">
        <x:f>IF(M29&gt;0,"REVIEW","READY")</x:f>
        <x:v>READY</x:v>
      </x:c>
      <x:c r="O29" s="52" t="n">
        <x:f>IF(AND(ISNUMBER(G29),G29&gt;=0,ISNUMBER(I29),I29&gt;=0),G29*I29,"")</x:f>
        <x:v>2800.6</x:v>
      </x:c>
      <x:c r="P29" s="50" t="str">
        <x:f>IF(N29="REVIEW","CHECK",IF(AND(ISNUMBER(G29),ISNUMBER(H29)),IF(G29&lt;H29,"LOW","OK"),"CHECK"))</x:f>
        <x:v>OK</x:v>
      </x:c>
    </x:row>
    <x:row r="30" ht="22" customHeight="1">
      <x:c r="A30" s="50" t="str">
        <x:v>IN-0025</x:v>
      </x:c>
      <x:c r="B30" s="50" t="str">
        <x:v>SP-1125</x:v>
      </x:c>
      <x:c r="C30" s="50" t="str">
        <x:v>Hydraulic Hose Assembly - Type B</x:v>
      </x:c>
      <x:c r="D30" s="50" t="str">
        <x:v>Hydraulics</x:v>
      </x:c>
      <x:c r="E30" s="50" t="str">
        <x:v>WH-A-03-04</x:v>
      </x:c>
      <x:c r="F30" s="50" t="str">
        <x:v>EA</x:v>
      </x:c>
      <x:c r="G30" s="50" t="n">
        <x:v>88</x:v>
      </x:c>
      <x:c r="H30" s="50" t="n">
        <x:v>21</x:v>
      </x:c>
      <x:c r="I30" s="52" t="n">
        <x:v>276.82</x:v>
      </x:c>
      <x:c r="J30" s="50" t="str">
        <x:v>Redgate Supply</x:v>
      </x:c>
      <x:c r="K30" s="50" t="str">
        <x:v>2026-08-22</x:v>
      </x:c>
      <x:c r="L30" s="50" t="str"/>
      <x:c r="M30" s="50" t="n">
        <x:v>0</x:v>
      </x:c>
      <x:c r="N30" s="50" t="str">
        <x:f>IF(M30&gt;0,"REVIEW","READY")</x:f>
        <x:v>READY</x:v>
      </x:c>
      <x:c r="O30" s="52" t="n">
        <x:f>IF(AND(ISNUMBER(G30),G30&gt;=0,ISNUMBER(I30),I30&gt;=0),G30*I30,"")</x:f>
        <x:v>24360.16</x:v>
      </x:c>
      <x:c r="P30" s="50" t="str">
        <x:f>IF(N30="REVIEW","CHECK",IF(AND(ISNUMBER(G30),ISNUMBER(H30)),IF(G30&lt;H30,"LOW","OK"),"CHECK"))</x:f>
        <x:v>OK</x:v>
      </x:c>
    </x:row>
    <x:row r="31" ht="22" customHeight="1">
      <x:c r="A31" s="50" t="str">
        <x:v>IN-0026</x:v>
      </x:c>
      <x:c r="B31" s="50" t="str">
        <x:v>SP-1126</x:v>
      </x:c>
      <x:c r="C31" s="50" t="str">
        <x:v>Quick Connect Coupler - Heavy Duty</x:v>
      </x:c>
      <x:c r="D31" s="50" t="str">
        <x:v>Hydraulics</x:v>
      </x:c>
      <x:c r="E31" s="50" t="str">
        <x:v>WH-B-02-05</x:v>
      </x:c>
      <x:c r="F31" s="50" t="str">
        <x:v>EA</x:v>
      </x:c>
      <x:c r="G31" s="50" t="n">
        <x:v>76</x:v>
      </x:c>
      <x:c r="H31" s="50" t="n">
        <x:v>19</x:v>
      </x:c>
      <x:c r="I31" s="52"/>
      <x:c r="J31" s="50" t="str">
        <x:v>Meridian Industrial</x:v>
      </x:c>
      <x:c r="K31" s="50" t="str">
        <x:v>2026-08-06</x:v>
      </x:c>
      <x:c r="L31" s="50" t="str"/>
      <x:c r="M31" s="50" t="n">
        <x:v>1</x:v>
      </x:c>
      <x:c r="N31" s="50" t="str">
        <x:f>IF(M31&gt;0,"REVIEW","READY")</x:f>
        <x:v>REVIEW</x:v>
      </x:c>
      <x:c r="O31" s="52" t="str">
        <x:f>IF(AND(ISNUMBER(G31),G31&gt;=0,ISNUMBER(I31),I31&gt;=0),G31*I31,"")</x:f>
      </x:c>
      <x:c r="P31" s="50" t="str">
        <x:f>IF(N31="REVIEW","CHECK",IF(AND(ISNUMBER(G31),ISNUMBER(H31)),IF(G31&lt;H31,"LOW","OK"),"CHECK"))</x:f>
        <x:v>CHECK</x:v>
      </x:c>
    </x:row>
    <x:row r="32" ht="22" customHeight="1">
      <x:c r="A32" s="50" t="str">
        <x:v>IN-0027</x:v>
      </x:c>
      <x:c r="B32" s="50" t="str">
        <x:v>SP-1127</x:v>
      </x:c>
      <x:c r="C32" s="50" t="str">
        <x:v>Hydraulic Filter - Type B</x:v>
      </x:c>
      <x:c r="D32" s="50" t="str">
        <x:v>Hydraulics</x:v>
      </x:c>
      <x:c r="E32" s="50" t="str">
        <x:v>WH-A-02-04</x:v>
      </x:c>
      <x:c r="F32" s="50" t="str">
        <x:v>PAIR</x:v>
      </x:c>
      <x:c r="G32" s="50" t="n">
        <x:v>-3</x:v>
      </x:c>
      <x:c r="H32" s="50" t="n">
        <x:v>8</x:v>
      </x:c>
      <x:c r="I32" s="52" t="n">
        <x:v>215.97</x:v>
      </x:c>
      <x:c r="J32" s="50" t="str">
        <x:v>Meridian Industrial</x:v>
      </x:c>
      <x:c r="K32" s="50" t="str">
        <x:v>2026-08-25</x:v>
      </x:c>
      <x:c r="L32" s="50" t="str"/>
      <x:c r="M32" s="50" t="n">
        <x:v>1</x:v>
      </x:c>
      <x:c r="N32" s="50" t="str">
        <x:f>IF(M32&gt;0,"REVIEW","READY")</x:f>
        <x:v>REVIEW</x:v>
      </x:c>
      <x:c r="O32" s="52" t="str">
        <x:f>IF(AND(ISNUMBER(G32),G32&gt;=0,ISNUMBER(I32),I32&gt;=0),G32*I32,"")</x:f>
      </x:c>
      <x:c r="P32" s="50" t="str">
        <x:f>IF(N32="REVIEW","CHECK",IF(AND(ISNUMBER(G32),ISNUMBER(H32)),IF(G32&lt;H32,"LOW","OK"),"CHECK"))</x:f>
        <x:v>CHECK</x:v>
      </x:c>
    </x:row>
    <x:row r="33" ht="22" customHeight="1">
      <x:c r="A33" s="50" t="str">
        <x:v>IN-0028</x:v>
      </x:c>
      <x:c r="B33" s="50" t="str">
        <x:v>SP-1128</x:v>
      </x:c>
      <x:c r="C33" s="50" t="str">
        <x:v>Cylinder Seal Kit - Heavy Duty</x:v>
      </x:c>
      <x:c r="D33" s="50" t="str">
        <x:v>Hydraulics</x:v>
      </x:c>
      <x:c r="E33" s="50" t="str">
        <x:v>WH-D-01-05</x:v>
      </x:c>
      <x:c r="F33" s="50" t="str">
        <x:v>BOX</x:v>
      </x:c>
      <x:c r="G33" s="50" t="n">
        <x:v>17</x:v>
      </x:c>
      <x:c r="H33" s="50" t="n">
        <x:v>9</x:v>
      </x:c>
      <x:c r="I33" s="52" t="n">
        <x:v>179.65</x:v>
      </x:c>
      <x:c r="J33" s="50" t="str">
        <x:v>North Forge Parts</x:v>
      </x:c>
      <x:c r="K33" s="50" t="str">
        <x:v>2026-07-25</x:v>
      </x:c>
      <x:c r="L33" s="50" t="str"/>
      <x:c r="M33" s="50" t="n">
        <x:v>0</x:v>
      </x:c>
      <x:c r="N33" s="50" t="str">
        <x:f>IF(M33&gt;0,"REVIEW","READY")</x:f>
        <x:v>READY</x:v>
      </x:c>
      <x:c r="O33" s="52" t="n">
        <x:f>IF(AND(ISNUMBER(G33),G33&gt;=0,ISNUMBER(I33),I33&gt;=0),G33*I33,"")</x:f>
        <x:v>3054.05</x:v>
      </x:c>
      <x:c r="P33" s="50" t="str">
        <x:f>IF(N33="REVIEW","CHECK",IF(AND(ISNUMBER(G33),ISNUMBER(H33)),IF(G33&lt;H33,"LOW","OK"),"CHECK"))</x:f>
        <x:v>OK</x:v>
      </x:c>
    </x:row>
    <x:row r="34" ht="22" customHeight="1">
      <x:c r="A34" s="50" t="str">
        <x:v>IN-0029</x:v>
      </x:c>
      <x:c r="B34" s="50" t="str">
        <x:v>SP-1129</x:v>
      </x:c>
      <x:c r="C34" s="50" t="str">
        <x:v>Pressure Gauge - Standard</x:v>
      </x:c>
      <x:c r="D34" s="50" t="str">
        <x:v>Hydraulics</x:v>
      </x:c>
      <x:c r="E34" s="50" t="str">
        <x:v>WH-B-04-02</x:v>
      </x:c>
      <x:c r="F34" s="50" t="str">
        <x:v>EA</x:v>
      </x:c>
      <x:c r="G34" s="50" t="n">
        <x:v>5</x:v>
      </x:c>
      <x:c r="H34" s="50" t="n">
        <x:v>14</x:v>
      </x:c>
      <x:c r="I34" s="52" t="n">
        <x:v>246.7</x:v>
      </x:c>
      <x:c r="J34" s="50" t="str">
        <x:v>Canyon Equipment</x:v>
      </x:c>
      <x:c r="K34" s="50" t="str">
        <x:v>2026-08-02</x:v>
      </x:c>
      <x:c r="L34" s="50" t="str"/>
      <x:c r="M34" s="50" t="n">
        <x:v>0</x:v>
      </x:c>
      <x:c r="N34" s="50" t="str">
        <x:f>IF(M34&gt;0,"REVIEW","READY")</x:f>
        <x:v>READY</x:v>
      </x:c>
      <x:c r="O34" s="52" t="n">
        <x:f>IF(AND(ISNUMBER(G34),G34&gt;=0,ISNUMBER(I34),I34&gt;=0),G34*I34,"")</x:f>
        <x:v>1233.5</x:v>
      </x:c>
      <x:c r="P34" s="50" t="str">
        <x:f>IF(N34="REVIEW","CHECK",IF(AND(ISNUMBER(G34),ISNUMBER(H34)),IF(G34&lt;H34,"LOW","OK"),"CHECK"))</x:f>
        <x:v>LOW</x:v>
      </x:c>
    </x:row>
    <x:row r="35" ht="22" customHeight="1">
      <x:c r="A35" s="50" t="str">
        <x:v>IN-0030</x:v>
      </x:c>
      <x:c r="B35" s="50" t="str">
        <x:v>SP-1130</x:v>
      </x:c>
      <x:c r="C35" s="50" t="str">
        <x:v>Hydraulic Elbow - Heavy Duty</x:v>
      </x:c>
      <x:c r="D35" s="50" t="str">
        <x:v>Hydraulics</x:v>
      </x:c>
      <x:c r="E35" s="50" t="str">
        <x:v>WH-A-03-02</x:v>
      </x:c>
      <x:c r="F35" s="50" t="str">
        <x:v>EA</x:v>
      </x:c>
      <x:c r="G35" s="50" t="n">
        <x:v>12</x:v>
      </x:c>
      <x:c r="H35" s="50" t="n">
        <x:v>17</x:v>
      </x:c>
      <x:c r="I35" s="52" t="n">
        <x:v>286.46</x:v>
      </x:c>
      <x:c r="J35" s="50" t="str">
        <x:v>Meridian Industrial</x:v>
      </x:c>
      <x:c r="K35" s="50" t="str">
        <x:v>2026-09-10</x:v>
      </x:c>
      <x:c r="L35" s="50" t="str"/>
      <x:c r="M35" s="50" t="n">
        <x:v>0</x:v>
      </x:c>
      <x:c r="N35" s="50" t="str">
        <x:f>IF(M35&gt;0,"REVIEW","READY")</x:f>
        <x:v>READY</x:v>
      </x:c>
      <x:c r="O35" s="52" t="n">
        <x:f>IF(AND(ISNUMBER(G35),G35&gt;=0,ISNUMBER(I35),I35&gt;=0),G35*I35,"")</x:f>
        <x:v>3437.5199999999995</x:v>
      </x:c>
      <x:c r="P35" s="50" t="str">
        <x:f>IF(N35="REVIEW","CHECK",IF(AND(ISNUMBER(G35),ISNUMBER(H35)),IF(G35&lt;H35,"LOW","OK"),"CHECK"))</x:f>
        <x:v>LOW</x:v>
      </x:c>
    </x:row>
    <x:row r="36" ht="22" customHeight="1">
      <x:c r="A36" s="50" t="str">
        <x:v>IN-0031</x:v>
      </x:c>
      <x:c r="B36" s="50" t="str">
        <x:v>SP-1131</x:v>
      </x:c>
      <x:c r="C36" s="50" t="str">
        <x:v>O-Ring Assortment - Series 2</x:v>
      </x:c>
      <x:c r="D36" s="50" t="str">
        <x:v>Hydraulics</x:v>
      </x:c>
      <x:c r="E36" s="50" t="str">
        <x:v>WH-A-01-02</x:v>
      </x:c>
      <x:c r="F36" s="50" t="str">
        <x:v>PAIR</x:v>
      </x:c>
      <x:c r="G36" s="50" t="n">
        <x:v>3</x:v>
      </x:c>
      <x:c r="H36" s="50" t="n">
        <x:v>17</x:v>
      </x:c>
      <x:c r="I36" s="52" t="n">
        <x:v>4.73</x:v>
      </x:c>
      <x:c r="J36" s="50" t="str">
        <x:v>Canyon Equipment</x:v>
      </x:c>
      <x:c r="K36" s="50" t="str">
        <x:v>2026-13-02</x:v>
      </x:c>
      <x:c r="L36" s="50" t="str"/>
      <x:c r="M36" s="50" t="n">
        <x:v>0</x:v>
      </x:c>
      <x:c r="N36" s="50" t="str">
        <x:f>IF(M36&gt;0,"REVIEW","READY")</x:f>
        <x:v>READY</x:v>
      </x:c>
      <x:c r="O36" s="52" t="n">
        <x:f>IF(AND(ISNUMBER(G36),G36&gt;=0,ISNUMBER(I36),I36&gt;=0),G36*I36,"")</x:f>
        <x:v>14.190000000000001</x:v>
      </x:c>
      <x:c r="P36" s="50" t="str">
        <x:f>IF(N36="REVIEW","CHECK",IF(AND(ISNUMBER(G36),ISNUMBER(H36)),IF(G36&lt;H36,"LOW","OK"),"CHECK"))</x:f>
        <x:v>LOW</x:v>
      </x:c>
    </x:row>
    <x:row r="37" ht="22" customHeight="1">
      <x:c r="A37" s="50" t="str">
        <x:v>IN-0032</x:v>
      </x:c>
      <x:c r="B37" s="50" t="str">
        <x:v>SP-1132</x:v>
      </x:c>
      <x:c r="C37" s="50" t="str">
        <x:v>relief valve - standard</x:v>
      </x:c>
      <x:c r="D37" s="50" t="str">
        <x:v>Hydraulics</x:v>
      </x:c>
      <x:c r="E37" s="50" t="str">
        <x:v>WH-D-04-01</x:v>
      </x:c>
      <x:c r="F37" s="50" t="str">
        <x:v>FT</x:v>
      </x:c>
      <x:c r="G37" s="50" t="n">
        <x:v>56</x:v>
      </x:c>
      <x:c r="H37" s="50" t="n">
        <x:v>11</x:v>
      </x:c>
      <x:c r="I37" s="52" t="n">
        <x:v>329.67</x:v>
      </x:c>
      <x:c r="J37" s="50" t="str">
        <x:v>Redgate Supply</x:v>
      </x:c>
      <x:c r="K37" s="50" t="str">
        <x:v>2026-08-01</x:v>
      </x:c>
      <x:c r="L37" s="50" t="str"/>
      <x:c r="M37" s="50" t="n">
        <x:v>0</x:v>
      </x:c>
      <x:c r="N37" s="50" t="str">
        <x:f>IF(M37&gt;0,"REVIEW","READY")</x:f>
        <x:v>READY</x:v>
      </x:c>
      <x:c r="O37" s="52" t="n">
        <x:f>IF(AND(ISNUMBER(G37),G37&gt;=0,ISNUMBER(I37),I37&gt;=0),G37*I37,"")</x:f>
        <x:v>18461.52</x:v>
      </x:c>
      <x:c r="P37" s="50" t="str">
        <x:f>IF(N37="REVIEW","CHECK",IF(AND(ISNUMBER(G37),ISNUMBER(H37)),IF(G37&lt;H37,"LOW","OK"),"CHECK"))</x:f>
        <x:v>OK</x:v>
      </x:c>
    </x:row>
    <x:row r="38" ht="22" customHeight="1">
      <x:c r="A38" s="50" t="str">
        <x:v>IN-0033</x:v>
      </x:c>
      <x:c r="B38" s="50" t="str">
        <x:v>SP-1133</x:v>
      </x:c>
      <x:c r="C38" s="50" t="str">
        <x:v>Hydraulic Tee - Type B</x:v>
      </x:c>
      <x:c r="D38" s="50" t="str">
        <x:v>UNKNOWN CATEGORY</x:v>
      </x:c>
      <x:c r="E38" s="50" t="str">
        <x:v>WH-C-04-05</x:v>
      </x:c>
      <x:c r="F38" s="50" t="str">
        <x:v>EA</x:v>
      </x:c>
      <x:c r="G38" s="50" t="n">
        <x:v>51</x:v>
      </x:c>
      <x:c r="H38" s="50" t="n">
        <x:v>20</x:v>
      </x:c>
      <x:c r="I38" s="52" t="n">
        <x:v>134.86</x:v>
      </x:c>
      <x:c r="J38" s="50" t="str">
        <x:v>Meridian Industrial</x:v>
      </x:c>
      <x:c r="K38" s="50" t="str">
        <x:v>2026-07-20</x:v>
      </x:c>
      <x:c r="L38" s="50" t="str"/>
      <x:c r="M38" s="50" t="n">
        <x:v>1</x:v>
      </x:c>
      <x:c r="N38" s="50" t="str">
        <x:f>IF(M38&gt;0,"REVIEW","READY")</x:f>
        <x:v>REVIEW</x:v>
      </x:c>
      <x:c r="O38" s="52" t="n">
        <x:f>IF(AND(ISNUMBER(G38),G38&gt;=0,ISNUMBER(I38),I38&gt;=0),G38*I38,"")</x:f>
        <x:v>6877.860000000001</x:v>
      </x:c>
      <x:c r="P38" s="50" t="str">
        <x:f>IF(N38="REVIEW","CHECK",IF(AND(ISNUMBER(G38),ISNUMBER(H38)),IF(G38&lt;H38,"LOW","OK"),"CHECK"))</x:f>
        <x:v>CHECK</x:v>
      </x:c>
    </x:row>
    <x:row r="39" ht="22" customHeight="1">
      <x:c r="A39" s="50" t="str">
        <x:v>IN-0034</x:v>
      </x:c>
      <x:c r="B39" s="50" t="str">
        <x:v>SP-1134</x:v>
      </x:c>
      <x:c r="C39" s="50" t="str">
        <x:v>Return Line Filter - Type B</x:v>
      </x:c>
      <x:c r="D39" s="50" t="str">
        <x:v>Hydraulics</x:v>
      </x:c>
      <x:c r="E39" s="50" t="str">
        <x:v>WH-C-03-05</x:v>
      </x:c>
      <x:c r="F39" s="50" t="str">
        <x:v>EA</x:v>
      </x:c>
      <x:c r="G39" s="50" t="n">
        <x:v>10</x:v>
      </x:c>
      <x:c r="H39" s="50" t="n">
        <x:v>18</x:v>
      </x:c>
      <x:c r="I39" s="52" t="n">
        <x:v>228.38</x:v>
      </x:c>
      <x:c r="J39" s="50" t="str">
        <x:v>Meridian Industrial</x:v>
      </x:c>
      <x:c r="K39" s="50" t="str">
        <x:v>2026-07-22</x:v>
      </x:c>
      <x:c r="L39" s="50" t="str"/>
      <x:c r="M39" s="50" t="n">
        <x:v>0</x:v>
      </x:c>
      <x:c r="N39" s="50" t="str">
        <x:f>IF(M39&gt;0,"REVIEW","READY")</x:f>
        <x:v>READY</x:v>
      </x:c>
      <x:c r="O39" s="52" t="n">
        <x:f>IF(AND(ISNUMBER(G39),G39&gt;=0,ISNUMBER(I39),I39&gt;=0),G39*I39,"")</x:f>
        <x:v>2283.8</x:v>
      </x:c>
      <x:c r="P39" s="50" t="str">
        <x:f>IF(N39="REVIEW","CHECK",IF(AND(ISNUMBER(G39),ISNUMBER(H39)),IF(G39&lt;H39,"LOW","OK"),"CHECK"))</x:f>
        <x:v>LOW</x:v>
      </x:c>
    </x:row>
    <x:row r="40" ht="22" customHeight="1">
      <x:c r="A40" s="50" t="str">
        <x:v>IN-0035</x:v>
      </x:c>
      <x:c r="B40" s="50" t="str">
        <x:v>SP-1135</x:v>
      </x:c>
      <x:c r="C40" s="50" t="str">
        <x:v>Hydraulic Clamp - Series 2</x:v>
      </x:c>
      <x:c r="D40" s="50" t="str">
        <x:v>Hydraulics</x:v>
      </x:c>
      <x:c r="E40" s="50" t="str">
        <x:v>STAGING???</x:v>
      </x:c>
      <x:c r="F40" s="50" t="str">
        <x:v>EA</x:v>
      </x:c>
      <x:c r="G40" s="50" t="n">
        <x:v>35</x:v>
      </x:c>
      <x:c r="H40" s="50" t="n">
        <x:v>7</x:v>
      </x:c>
      <x:c r="I40" s="52" t="n">
        <x:v>266.83</x:v>
      </x:c>
      <x:c r="J40" s="50" t="str">
        <x:v>North Forge Parts</x:v>
      </x:c>
      <x:c r="K40" s="50" t="str">
        <x:v>2026-07-05</x:v>
      </x:c>
      <x:c r="L40" s="50" t="str"/>
      <x:c r="M40" s="50" t="n">
        <x:v>1</x:v>
      </x:c>
      <x:c r="N40" s="50" t="str">
        <x:f>IF(M40&gt;0,"REVIEW","READY")</x:f>
        <x:v>REVIEW</x:v>
      </x:c>
      <x:c r="O40" s="52" t="n">
        <x:f>IF(AND(ISNUMBER(G40),G40&gt;=0,ISNUMBER(I40),I40&gt;=0),G40*I40,"")</x:f>
        <x:v>9339.05</x:v>
      </x:c>
      <x:c r="P40" s="50" t="str">
        <x:f>IF(N40="REVIEW","CHECK",IF(AND(ISNUMBER(G40),ISNUMBER(H40)),IF(G40&lt;H40,"LOW","OK"),"CHECK"))</x:f>
        <x:v>CHECK</x:v>
      </x:c>
    </x:row>
    <x:row r="41" ht="22" customHeight="1">
      <x:c r="A41" s="50" t="str">
        <x:v>IN-0036</x:v>
      </x:c>
      <x:c r="B41" s="50" t="str">
        <x:v>SP-1136</x:v>
      </x:c>
      <x:c r="C41" s="50" t="str">
        <x:v>Flow Control Valve - Heavy Duty</x:v>
      </x:c>
      <x:c r="D41" s="50" t="str">
        <x:v>Hydraulics</x:v>
      </x:c>
      <x:c r="E41" s="50" t="str">
        <x:v>WH-A-01-05</x:v>
      </x:c>
      <x:c r="F41" s="50" t="str">
        <x:v>EA</x:v>
      </x:c>
      <x:c r="G41" s="50" t="n">
        <x:v>21</x:v>
      </x:c>
      <x:c r="H41" s="50" t="n">
        <x:v>6</x:v>
      </x:c>
      <x:c r="I41" s="52" t="n">
        <x:v>268.39</x:v>
      </x:c>
      <x:c r="J41" s="50" t="str">
        <x:v>Redgate Supply</x:v>
      </x:c>
      <x:c r="K41" s="50" t="str">
        <x:v>2026-09-01</x:v>
      </x:c>
      <x:c r="L41" s="50" t="str"/>
      <x:c r="M41" s="50" t="n">
        <x:v>0</x:v>
      </x:c>
      <x:c r="N41" s="50" t="str">
        <x:f>IF(M41&gt;0,"REVIEW","READY")</x:f>
        <x:v>READY</x:v>
      </x:c>
      <x:c r="O41" s="52" t="n">
        <x:f>IF(AND(ISNUMBER(G41),G41&gt;=0,ISNUMBER(I41),I41&gt;=0),G41*I41,"")</x:f>
        <x:v>5636.19</x:v>
      </x:c>
      <x:c r="P41" s="50" t="str">
        <x:f>IF(N41="REVIEW","CHECK",IF(AND(ISNUMBER(G41),ISNUMBER(H41)),IF(G41&lt;H41,"LOW","OK"),"CHECK"))</x:f>
        <x:v>OK</x:v>
      </x:c>
    </x:row>
    <x:row r="42" ht="22" customHeight="1">
      <x:c r="A42" s="50" t="str">
        <x:v>IN-0037</x:v>
      </x:c>
      <x:c r="B42" s="50" t="str">
        <x:v>SP-1137</x:v>
      </x:c>
      <x:c r="C42" s="50" t="str">
        <x:v>24V Control Relay - Type B</x:v>
      </x:c>
      <x:c r="D42" s="50" t="str">
        <x:v>Electrical Controls</x:v>
      </x:c>
      <x:c r="E42" s="50" t="str">
        <x:v>WH-C-04-02</x:v>
      </x:c>
      <x:c r="F42" s="50" t="str">
        <x:v>PAIR</x:v>
      </x:c>
      <x:c r="G42" s="50" t="n">
        <x:v>88</x:v>
      </x:c>
      <x:c r="H42" s="50" t="n">
        <x:v>10</x:v>
      </x:c>
      <x:c r="I42" s="52" t="n">
        <x:v>77.81</x:v>
      </x:c>
      <x:c r="J42" s="50" t="str">
        <x:v>North Forge Parts</x:v>
      </x:c>
      <x:c r="K42" s="50" t="str">
        <x:v>2026-07-15</x:v>
      </x:c>
      <x:c r="L42" s="50" t="str"/>
      <x:c r="M42" s="50" t="n">
        <x:v>0</x:v>
      </x:c>
      <x:c r="N42" s="50" t="str">
        <x:f>IF(M42&gt;0,"REVIEW","READY")</x:f>
        <x:v>READY</x:v>
      </x:c>
      <x:c r="O42" s="52" t="n">
        <x:f>IF(AND(ISNUMBER(G42),G42&gt;=0,ISNUMBER(I42),I42&gt;=0),G42*I42,"")</x:f>
        <x:v>6847.280000000001</x:v>
      </x:c>
      <x:c r="P42" s="50" t="str">
        <x:f>IF(N42="REVIEW","CHECK",IF(AND(ISNUMBER(G42),ISNUMBER(H42)),IF(G42&lt;H42,"LOW","OK"),"CHECK"))</x:f>
        <x:v>OK</x:v>
      </x:c>
    </x:row>
    <x:row r="43" ht="22" customHeight="1">
      <x:c r="A43" s="50" t="str">
        <x:v>IN-0038</x:v>
      </x:c>
      <x:c r="B43" s="50" t="str">
        <x:v>SP-1138</x:v>
      </x:c>
      <x:c r="C43" s="50" t="str">
        <x:v>Contactor Coil - Metric</x:v>
      </x:c>
      <x:c r="D43" s="50" t="str">
        <x:v>Electrical Controls</x:v>
      </x:c>
      <x:c r="E43" s="50" t="str">
        <x:v>WH-D-01-01</x:v>
      </x:c>
      <x:c r="F43" s="50" t="str">
        <x:v>EA</x:v>
      </x:c>
      <x:c r="G43" s="50" t="n">
        <x:v>65</x:v>
      </x:c>
      <x:c r="H43" s="50" t="n">
        <x:v>15</x:v>
      </x:c>
      <x:c r="I43" s="52" t="n">
        <x:v>288.19</x:v>
      </x:c>
      <x:c r="J43" s="50" t="str">
        <x:v>Meridian Industrial</x:v>
      </x:c>
      <x:c r="K43" s="50" t="str">
        <x:v>2026-07-19</x:v>
      </x:c>
      <x:c r="L43" s="50" t="str">
        <x:v>SP-1138</x:v>
      </x:c>
      <x:c r="M43" s="50" t="n">
        <x:v>1</x:v>
      </x:c>
      <x:c r="N43" s="50" t="str">
        <x:f>IF(M43&gt;0,"REVIEW","READY")</x:f>
        <x:v>REVIEW</x:v>
      </x:c>
      <x:c r="O43" s="52" t="n">
        <x:f>IF(AND(ISNUMBER(G43),G43&gt;=0,ISNUMBER(I43),I43&gt;=0),G43*I43,"")</x:f>
        <x:v>18732.35</x:v>
      </x:c>
      <x:c r="P43" s="50" t="str">
        <x:f>IF(N43="REVIEW","CHECK",IF(AND(ISNUMBER(G43),ISNUMBER(H43)),IF(G43&lt;H43,"LOW","OK"),"CHECK"))</x:f>
        <x:v>CHECK</x:v>
      </x:c>
    </x:row>
    <x:row r="44" ht="22" customHeight="1">
      <x:c r="A44" s="50" t="str">
        <x:v>IN-0039</x:v>
      </x:c>
      <x:c r="B44" s="50" t="str">
        <x:v>SP-1139</x:v>
      </x:c>
      <x:c r="C44" s="50" t="str">
        <x:v>Proximity Sensor - Heavy Duty</x:v>
      </x:c>
      <x:c r="D44" s="50" t="str">
        <x:v>Electrical Controls</x:v>
      </x:c>
      <x:c r="E44" s="50" t="str">
        <x:v>WH-C-01-03</x:v>
      </x:c>
      <x:c r="F44" s="50" t="str">
        <x:v>EA</x:v>
      </x:c>
      <x:c r="G44" s="50" t="n">
        <x:v>56</x:v>
      </x:c>
      <x:c r="H44" s="50" t="n">
        <x:v>6</x:v>
      </x:c>
      <x:c r="I44" s="52" t="n">
        <x:v>89.59</x:v>
      </x:c>
      <x:c r="J44" s="50" t="str">
        <x:v>Canyon Equipment</x:v>
      </x:c>
      <x:c r="K44" s="50" t="str">
        <x:v>2026-08-06</x:v>
      </x:c>
      <x:c r="L44" s="50" t="str"/>
      <x:c r="M44" s="50" t="n">
        <x:v>0</x:v>
      </x:c>
      <x:c r="N44" s="50" t="str">
        <x:f>IF(M44&gt;0,"REVIEW","READY")</x:f>
        <x:v>READY</x:v>
      </x:c>
      <x:c r="O44" s="52" t="n">
        <x:f>IF(AND(ISNUMBER(G44),G44&gt;=0,ISNUMBER(I44),I44&gt;=0),G44*I44,"")</x:f>
        <x:v>5017.04</x:v>
      </x:c>
      <x:c r="P44" s="50" t="str">
        <x:f>IF(N44="REVIEW","CHECK",IF(AND(ISNUMBER(G44),ISNUMBER(H44)),IF(G44&lt;H44,"LOW","OK"),"CHECK"))</x:f>
        <x:v>OK</x:v>
      </x:c>
    </x:row>
    <x:row r="45" ht="22" customHeight="1">
      <x:c r="A45" s="50" t="str">
        <x:v>IN-0040</x:v>
      </x:c>
      <x:c r="B45" s="50" t="str">
        <x:v>SP-1140</x:v>
      </x:c>
      <x:c r="C45" s="50" t="str">
        <x:v>limit switch - type b</x:v>
      </x:c>
      <x:c r="D45" s="50" t="str">
        <x:v>Electrical Controls</x:v>
      </x:c>
      <x:c r="E45" s="50" t="str">
        <x:v>WH-D-03-03</x:v>
      </x:c>
      <x:c r="F45" s="50" t="str">
        <x:v>BOX</x:v>
      </x:c>
      <x:c r="G45" s="50" t="n">
        <x:v>23</x:v>
      </x:c>
      <x:c r="H45" s="50" t="n">
        <x:v>18</x:v>
      </x:c>
      <x:c r="I45" s="52" t="n">
        <x:v>75.53</x:v>
      </x:c>
      <x:c r="J45" s="50" t="str">
        <x:v>North Forge Parts</x:v>
      </x:c>
      <x:c r="K45" s="50" t="str">
        <x:v>2026-07-17</x:v>
      </x:c>
      <x:c r="L45" s="50" t="str">
        <x:v>SP-1140</x:v>
      </x:c>
      <x:c r="M45" s="50" t="n">
        <x:v>1</x:v>
      </x:c>
      <x:c r="N45" s="50" t="str">
        <x:f>IF(M45&gt;0,"REVIEW","READY")</x:f>
        <x:v>REVIEW</x:v>
      </x:c>
      <x:c r="O45" s="52" t="n">
        <x:f>IF(AND(ISNUMBER(G45),G45&gt;=0,ISNUMBER(I45),I45&gt;=0),G45*I45,"")</x:f>
        <x:v>1737.19</x:v>
      </x:c>
      <x:c r="P45" s="50" t="str">
        <x:f>IF(N45="REVIEW","CHECK",IF(AND(ISNUMBER(G45),ISNUMBER(H45)),IF(G45&lt;H45,"LOW","OK"),"CHECK"))</x:f>
        <x:v>CHECK</x:v>
      </x:c>
    </x:row>
    <x:row r="46" ht="22" customHeight="1">
      <x:c r="A46" s="50" t="str">
        <x:v>IN-0041</x:v>
      </x:c>
      <x:c r="B46" s="50" t="str">
        <x:v>SP-1141</x:v>
      </x:c>
      <x:c r="C46" s="50" t="str">
        <x:v>Panel Fuse - Type B</x:v>
      </x:c>
      <x:c r="D46" s="50" t="str">
        <x:v>Electrical Controls</x:v>
      </x:c>
      <x:c r="E46" s="50" t="str">
        <x:v>WH-A-04-04</x:v>
      </x:c>
      <x:c r="F46" s="50" t="str">
        <x:v>EA</x:v>
      </x:c>
      <x:c r="G46" s="50"/>
      <x:c r="H46" s="50" t="n">
        <x:v>22</x:v>
      </x:c>
      <x:c r="I46" s="52" t="n">
        <x:v>276.55</x:v>
      </x:c>
      <x:c r="J46" s="50" t="str">
        <x:v>Redgate Supply</x:v>
      </x:c>
      <x:c r="K46" s="50" t="str">
        <x:v>2026-08-26</x:v>
      </x:c>
      <x:c r="L46" s="50" t="str"/>
      <x:c r="M46" s="50" t="n">
        <x:v>1</x:v>
      </x:c>
      <x:c r="N46" s="50" t="str">
        <x:f>IF(M46&gt;0,"REVIEW","READY")</x:f>
        <x:v>REVIEW</x:v>
      </x:c>
      <x:c r="O46" s="52" t="str">
        <x:f>IF(AND(ISNUMBER(G46),G46&gt;=0,ISNUMBER(I46),I46&gt;=0),G46*I46,"")</x:f>
      </x:c>
      <x:c r="P46" s="50" t="str">
        <x:f>IF(N46="REVIEW","CHECK",IF(AND(ISNUMBER(G46),ISNUMBER(H46)),IF(G46&lt;H46,"LOW","OK"),"CHECK"))</x:f>
        <x:v>CHECK</x:v>
      </x:c>
    </x:row>
    <x:row r="47" ht="22" customHeight="1">
      <x:c r="A47" s="50" t="str">
        <x:v>IN-0042</x:v>
      </x:c>
      <x:c r="B47" s="50" t="str">
        <x:v>SP-1142</x:v>
      </x:c>
      <x:c r="C47" s="50" t="str">
        <x:v>Terminal Block - Type B</x:v>
      </x:c>
      <x:c r="D47" s="50" t="str">
        <x:v>Electrical Controls</x:v>
      </x:c>
      <x:c r="E47" s="50" t="str">
        <x:v>WH-C-02-05</x:v>
      </x:c>
      <x:c r="F47" s="50" t="str">
        <x:v>PAIR</x:v>
      </x:c>
      <x:c r="G47" s="50" t="n">
        <x:v>12</x:v>
      </x:c>
      <x:c r="H47" s="50" t="n">
        <x:v>22</x:v>
      </x:c>
      <x:c r="I47" s="52" t="n">
        <x:v>301.91</x:v>
      </x:c>
      <x:c r="J47" s="50" t="str">
        <x:v>Meridian Industrial</x:v>
      </x:c>
      <x:c r="K47" s="50" t="str">
        <x:v>2026-08-09</x:v>
      </x:c>
      <x:c r="L47" s="50" t="str"/>
      <x:c r="M47" s="50" t="n">
        <x:v>0</x:v>
      </x:c>
      <x:c r="N47" s="50" t="str">
        <x:f>IF(M47&gt;0,"REVIEW","READY")</x:f>
        <x:v>READY</x:v>
      </x:c>
      <x:c r="O47" s="52" t="n">
        <x:f>IF(AND(ISNUMBER(G47),G47&gt;=0,ISNUMBER(I47),I47&gt;=0),G47*I47,"")</x:f>
        <x:v>3622.92</x:v>
      </x:c>
      <x:c r="P47" s="50" t="str">
        <x:f>IF(N47="REVIEW","CHECK",IF(AND(ISNUMBER(G47),ISNUMBER(H47)),IF(G47&lt;H47,"LOW","OK"),"CHECK"))</x:f>
        <x:v>LOW</x:v>
      </x:c>
    </x:row>
    <x:row r="48" ht="22" customHeight="1">
      <x:c r="A48" s="50" t="str">
        <x:v>IN-0043</x:v>
      </x:c>
      <x:c r="B48" s="50" t="str">
        <x:v>SP-1143</x:v>
      </x:c>
      <x:c r="C48" s="50" t="str">
        <x:v>Emergency Stop Button - Heavy Duty</x:v>
      </x:c>
      <x:c r="D48" s="50" t="str">
        <x:v>Electrical Controls</x:v>
      </x:c>
      <x:c r="E48" s="50" t="str">
        <x:v>WH-B-03-05</x:v>
      </x:c>
      <x:c r="F48" s="50" t="str">
        <x:v>EA</x:v>
      </x:c>
      <x:c r="G48" s="50" t="n">
        <x:v>9</x:v>
      </x:c>
      <x:c r="H48" s="50" t="n">
        <x:v>11</x:v>
      </x:c>
      <x:c r="I48" s="52" t="n">
        <x:v>26.44</x:v>
      </x:c>
      <x:c r="J48" s="50" t="str">
        <x:v>Canyon Equipment</x:v>
      </x:c>
      <x:c r="K48" s="50" t="str">
        <x:v>2026-08-26</x:v>
      </x:c>
      <x:c r="L48" s="50" t="str"/>
      <x:c r="M48" s="50" t="n">
        <x:v>0</x:v>
      </x:c>
      <x:c r="N48" s="50" t="str">
        <x:f>IF(M48&gt;0,"REVIEW","READY")</x:f>
        <x:v>READY</x:v>
      </x:c>
      <x:c r="O48" s="52" t="n">
        <x:f>IF(AND(ISNUMBER(G48),G48&gt;=0,ISNUMBER(I48),I48&gt;=0),G48*I48,"")</x:f>
        <x:v>237.96</x:v>
      </x:c>
      <x:c r="P48" s="50" t="str">
        <x:f>IF(N48="REVIEW","CHECK",IF(AND(ISNUMBER(G48),ISNUMBER(H48)),IF(G48&lt;H48,"LOW","OK"),"CHECK"))</x:f>
        <x:v>LOW</x:v>
      </x:c>
    </x:row>
    <x:row r="49" ht="22" customHeight="1">
      <x:c r="A49" s="50" t="str">
        <x:v>IN-0044</x:v>
      </x:c>
      <x:c r="B49" s="50" t="str">
        <x:v>SP-1144</x:v>
      </x:c>
      <x:c r="C49" s="50" t="str">
        <x:v>Motor Starter - Series 2</x:v>
      </x:c>
      <x:c r="D49" s="50" t="str">
        <x:v>Electrical Controls</x:v>
      </x:c>
      <x:c r="E49" s="50" t="str">
        <x:v>WH-A-03-04</x:v>
      </x:c>
      <x:c r="F49" s="50" t="str">
        <x:v>PACK</x:v>
      </x:c>
      <x:c r="G49" s="50" t="n">
        <x:v>77</x:v>
      </x:c>
      <x:c r="H49" s="50" t="n">
        <x:v>18</x:v>
      </x:c>
      <x:c r="I49" s="52" t="n">
        <x:v>59.64</x:v>
      </x:c>
      <x:c r="J49" s="50" t="str">
        <x:v>Meridian Industrial</x:v>
      </x:c>
      <x:c r="K49" s="50" t="str">
        <x:v>2026-07-10</x:v>
      </x:c>
      <x:c r="L49" s="50" t="str"/>
      <x:c r="M49" s="50" t="n">
        <x:v>1</x:v>
      </x:c>
      <x:c r="N49" s="50" t="str">
        <x:f>IF(M49&gt;0,"REVIEW","READY")</x:f>
        <x:v>REVIEW</x:v>
      </x:c>
      <x:c r="O49" s="52" t="n">
        <x:f>IF(AND(ISNUMBER(G49),G49&gt;=0,ISNUMBER(I49),I49&gt;=0),G49*I49,"")</x:f>
        <x:v>4592.28</x:v>
      </x:c>
      <x:c r="P49" s="50" t="str">
        <x:f>IF(N49="REVIEW","CHECK",IF(AND(ISNUMBER(G49),ISNUMBER(H49)),IF(G49&lt;H49,"LOW","OK"),"CHECK"))</x:f>
        <x:v>CHECK</x:v>
      </x:c>
    </x:row>
    <x:row r="50" ht="22" customHeight="1">
      <x:c r="A50" s="50" t="str">
        <x:v>IN-0045</x:v>
      </x:c>
      <x:c r="B50" s="50" t="str">
        <x:v>SP-1145</x:v>
      </x:c>
      <x:c r="C50" s="50" t="str">
        <x:v>DIN Rail - Standard</x:v>
      </x:c>
      <x:c r="D50" s="50" t="str">
        <x:v>Electrical Controls</x:v>
      </x:c>
      <x:c r="E50" s="50" t="str">
        <x:v>WH-D-04-05</x:v>
      </x:c>
      <x:c r="F50" s="50" t="str">
        <x:v>EA</x:v>
      </x:c>
      <x:c r="G50" s="50" t="n">
        <x:v>18</x:v>
      </x:c>
      <x:c r="H50" s="50" t="n">
        <x:v>22</x:v>
      </x:c>
      <x:c r="I50" s="52" t="n">
        <x:v>110.91</x:v>
      </x:c>
      <x:c r="J50" s="50" t="str">
        <x:v>Redgate Supply</x:v>
      </x:c>
      <x:c r="K50" s="50" t="str">
        <x:v>2026-09-07</x:v>
      </x:c>
      <x:c r="L50" s="50" t="str"/>
      <x:c r="M50" s="50" t="n">
        <x:v>0</x:v>
      </x:c>
      <x:c r="N50" s="50" t="str">
        <x:f>IF(M50&gt;0,"REVIEW","READY")</x:f>
        <x:v>READY</x:v>
      </x:c>
      <x:c r="O50" s="52" t="n">
        <x:f>IF(AND(ISNUMBER(G50),G50&gt;=0,ISNUMBER(I50),I50&gt;=0),G50*I50,"")</x:f>
        <x:v>1996.3799999999999</x:v>
      </x:c>
      <x:c r="P50" s="50" t="str">
        <x:f>IF(N50="REVIEW","CHECK",IF(AND(ISNUMBER(G50),ISNUMBER(H50)),IF(G50&lt;H50,"LOW","OK"),"CHECK"))</x:f>
        <x:v>LOW</x:v>
      </x:c>
    </x:row>
    <x:row r="51" ht="22" customHeight="1">
      <x:c r="A51" s="50" t="str">
        <x:v>IN-0046</x:v>
      </x:c>
      <x:c r="B51" s="50" t="str">
        <x:v>SP-1146</x:v>
      </x:c>
      <x:c r="C51" s="50" t="str">
        <x:v>Cable Gland - Metric</x:v>
      </x:c>
      <x:c r="D51" s="50" t="str">
        <x:v>Electrical Controls</x:v>
      </x:c>
      <x:c r="E51" s="50" t="str">
        <x:v>WH-C-01-01</x:v>
      </x:c>
      <x:c r="F51" s="50" t="str">
        <x:v>FT</x:v>
      </x:c>
      <x:c r="G51" s="50" t="n">
        <x:v>77</x:v>
      </x:c>
      <x:c r="H51" s="50" t="n">
        <x:v>17</x:v>
      </x:c>
      <x:c r="I51" s="52" t="n">
        <x:v>310.05</x:v>
      </x:c>
      <x:c r="J51" s="50" t="str">
        <x:v>Redgate Supply</x:v>
      </x:c>
      <x:c r="K51" s="50" t="str">
        <x:v>2026-08-10</x:v>
      </x:c>
      <x:c r="L51" s="50" t="str"/>
      <x:c r="M51" s="50" t="n">
        <x:v>0</x:v>
      </x:c>
      <x:c r="N51" s="50" t="str">
        <x:f>IF(M51&gt;0,"REVIEW","READY")</x:f>
        <x:v>READY</x:v>
      </x:c>
      <x:c r="O51" s="52" t="n">
        <x:f>IF(AND(ISNUMBER(G51),G51&gt;=0,ISNUMBER(I51),I51&gt;=0),G51*I51,"")</x:f>
        <x:v>23873.850000000002</x:v>
      </x:c>
      <x:c r="P51" s="50" t="str">
        <x:f>IF(N51="REVIEW","CHECK",IF(AND(ISNUMBER(G51),ISNUMBER(H51)),IF(G51&lt;H51,"LOW","OK"),"CHECK"))</x:f>
        <x:v>OK</x:v>
      </x:c>
    </x:row>
    <x:row r="52" ht="22" customHeight="1">
      <x:c r="A52" s="50" t="str">
        <x:v>IN-0047</x:v>
      </x:c>
      <x:c r="B52" s="50" t="str">
        <x:v>SP-1147</x:v>
      </x:c>
      <x:c r="C52" s="50" t="str">
        <x:v>Photoeye Bracket - Heavy Duty</x:v>
      </x:c>
      <x:c r="D52" s="50" t="str">
        <x:v>Electrical Controls</x:v>
      </x:c>
      <x:c r="E52" s="50" t="str">
        <x:v>WH-B-04-05</x:v>
      </x:c>
      <x:c r="F52" s="50" t="str">
        <x:v>EA</x:v>
      </x:c>
      <x:c r="G52" s="50" t="n">
        <x:v>27</x:v>
      </x:c>
      <x:c r="H52" s="50" t="n">
        <x:v>17</x:v>
      </x:c>
      <x:c r="I52" s="52" t="n">
        <x:v>100.6</x:v>
      </x:c>
      <x:c r="J52" s="50" t="str">
        <x:v>Meridian Industrial</x:v>
      </x:c>
      <x:c r="K52" s="50" t="str">
        <x:v>2026-08-30</x:v>
      </x:c>
      <x:c r="L52" s="50" t="str"/>
      <x:c r="M52" s="50" t="n">
        <x:v>0</x:v>
      </x:c>
      <x:c r="N52" s="50" t="str">
        <x:f>IF(M52&gt;0,"REVIEW","READY")</x:f>
        <x:v>READY</x:v>
      </x:c>
      <x:c r="O52" s="52" t="n">
        <x:f>IF(AND(ISNUMBER(G52),G52&gt;=0,ISNUMBER(I52),I52&gt;=0),G52*I52,"")</x:f>
        <x:v>2716.2</x:v>
      </x:c>
      <x:c r="P52" s="50" t="str">
        <x:f>IF(N52="REVIEW","CHECK",IF(AND(ISNUMBER(G52),ISNUMBER(H52)),IF(G52&lt;H52,"LOW","OK"),"CHECK"))</x:f>
        <x:v>OK</x:v>
      </x:c>
    </x:row>
    <x:row r="53" ht="22" customHeight="1">
      <x:c r="A53" s="50" t="str">
        <x:v>IN-0048</x:v>
      </x:c>
      <x:c r="B53" s="50" t="str">
        <x:v>SP-1148</x:v>
      </x:c>
      <x:c r="C53" s="50" t="str">
        <x:v>control transformer - series 2</x:v>
      </x:c>
      <x:c r="D53" s="50" t="str">
        <x:v>Electrical Controls</x:v>
      </x:c>
      <x:c r="E53" s="50" t="str">
        <x:v>WH-C-02-03</x:v>
      </x:c>
      <x:c r="F53" s="50" t="str">
        <x:v>EA</x:v>
      </x:c>
      <x:c r="G53" s="50" t="n">
        <x:v>58</x:v>
      </x:c>
      <x:c r="H53" s="50" t="n">
        <x:v>18</x:v>
      </x:c>
      <x:c r="I53" s="52"/>
      <x:c r="J53" s="50" t="str">
        <x:v>Redgate Supply</x:v>
      </x:c>
      <x:c r="K53" s="50" t="str">
        <x:v>2026-09-20</x:v>
      </x:c>
      <x:c r="L53" s="50" t="str"/>
      <x:c r="M53" s="50" t="n">
        <x:v>1</x:v>
      </x:c>
      <x:c r="N53" s="50" t="str">
        <x:f>IF(M53&gt;0,"REVIEW","READY")</x:f>
        <x:v>REVIEW</x:v>
      </x:c>
      <x:c r="O53" s="52" t="str">
        <x:f>IF(AND(ISNUMBER(G53),G53&gt;=0,ISNUMBER(I53),I53&gt;=0),G53*I53,"")</x:f>
      </x:c>
      <x:c r="P53" s="50" t="str">
        <x:f>IF(N53="REVIEW","CHECK",IF(AND(ISNUMBER(G53),ISNUMBER(H53)),IF(G53&lt;H53,"LOW","OK"),"CHECK"))</x:f>
        <x:v>CHECK</x:v>
      </x:c>
    </x:row>
    <x:row r="54" ht="22" customHeight="1">
      <x:c r="A54" s="50" t="str">
        <x:v>IN-0049</x:v>
      </x:c>
      <x:c r="B54" s="50" t="str">
        <x:v>SP-1149</x:v>
      </x:c>
      <x:c r="C54" s="50" t="str">
        <x:v>Motor Fan Cover - Standard</x:v>
      </x:c>
      <x:c r="D54" s="50" t="str">
        <x:v>Motors &amp; Drives</x:v>
      </x:c>
      <x:c r="E54" s="50" t="str">
        <x:v>WH-C-02-01</x:v>
      </x:c>
      <x:c r="F54" s="50" t="str">
        <x:v>BOX</x:v>
      </x:c>
      <x:c r="G54" s="50" t="n">
        <x:v>30</x:v>
      </x:c>
      <x:c r="H54" s="50" t="n">
        <x:v>7</x:v>
      </x:c>
      <x:c r="I54" s="52" t="n">
        <x:v>46.61</x:v>
      </x:c>
      <x:c r="J54" s="50" t="str">
        <x:v>Canyon Equipment</x:v>
      </x:c>
      <x:c r="K54" s="50" t="str">
        <x:v>2026-07-18</x:v>
      </x:c>
      <x:c r="L54" s="50" t="str"/>
      <x:c r="M54" s="50" t="n">
        <x:v>0</x:v>
      </x:c>
      <x:c r="N54" s="50" t="str">
        <x:f>IF(M54&gt;0,"REVIEW","READY")</x:f>
        <x:v>READY</x:v>
      </x:c>
      <x:c r="O54" s="52" t="n">
        <x:f>IF(AND(ISNUMBER(G54),G54&gt;=0,ISNUMBER(I54),I54&gt;=0),G54*I54,"")</x:f>
        <x:v>1398.3</x:v>
      </x:c>
      <x:c r="P54" s="50" t="str">
        <x:f>IF(N54="REVIEW","CHECK",IF(AND(ISNUMBER(G54),ISNUMBER(H54)),IF(G54&lt;H54,"LOW","OK"),"CHECK"))</x:f>
        <x:v>OK</x:v>
      </x:c>
    </x:row>
    <x:row r="55" ht="22" customHeight="1">
      <x:c r="A55" s="50" t="str">
        <x:v>IN-0050</x:v>
      </x:c>
      <x:c r="B55" s="50" t="str">
        <x:v>SP-1150</x:v>
      </x:c>
      <x:c r="C55" s="50" t="str">
        <x:v>Motor Thermal Overload - Heavy Duty</x:v>
      </x:c>
      <x:c r="D55" s="50" t="str">
        <x:v>Motors &amp; Drives</x:v>
      </x:c>
      <x:c r="E55" s="50" t="str">
        <x:v>WH-B-02-02</x:v>
      </x:c>
      <x:c r="F55" s="50" t="str">
        <x:v>EA</x:v>
      </x:c>
      <x:c r="G55" s="50" t="n">
        <x:v>74</x:v>
      </x:c>
      <x:c r="H55" s="50" t="n">
        <x:v>11</x:v>
      </x:c>
      <x:c r="I55" s="52" t="n">
        <x:v>47.42</x:v>
      </x:c>
      <x:c r="J55" s="50" t="str">
        <x:v>Canyon Equipment</x:v>
      </x:c>
      <x:c r="K55" s="50" t="str">
        <x:v>2026-08-23</x:v>
      </x:c>
      <x:c r="L55" s="50" t="str"/>
      <x:c r="M55" s="50" t="n">
        <x:v>0</x:v>
      </x:c>
      <x:c r="N55" s="50" t="str">
        <x:f>IF(M55&gt;0,"REVIEW","READY")</x:f>
        <x:v>READY</x:v>
      </x:c>
      <x:c r="O55" s="52" t="n">
        <x:f>IF(AND(ISNUMBER(G55),G55&gt;=0,ISNUMBER(I55),I55&gt;=0),G55*I55,"")</x:f>
        <x:v>3509.08</x:v>
      </x:c>
      <x:c r="P55" s="50" t="str">
        <x:f>IF(N55="REVIEW","CHECK",IF(AND(ISNUMBER(G55),ISNUMBER(H55)),IF(G55&lt;H55,"LOW","OK"),"CHECK"))</x:f>
        <x:v>OK</x:v>
      </x:c>
    </x:row>
    <x:row r="56" ht="22" customHeight="1">
      <x:c r="A56" s="50" t="str">
        <x:v>IN-0051</x:v>
      </x:c>
      <x:c r="B56" s="50" t="str">
        <x:v>SP-1151</x:v>
      </x:c>
      <x:c r="C56" s="50" t="str">
        <x:v>Variable Speed Drive Fuse - Series 2</x:v>
      </x:c>
      <x:c r="D56" s="50" t="str">
        <x:v>Motors &amp; Drives</x:v>
      </x:c>
      <x:c r="E56" s="50" t="str"/>
      <x:c r="F56" s="50" t="str">
        <x:v>EA</x:v>
      </x:c>
      <x:c r="G56" s="50" t="n">
        <x:v>56</x:v>
      </x:c>
      <x:c r="H56" s="50" t="n">
        <x:v>13</x:v>
      </x:c>
      <x:c r="I56" s="52" t="n">
        <x:v>268.98</x:v>
      </x:c>
      <x:c r="J56" s="50" t="str">
        <x:v>North Forge Parts</x:v>
      </x:c>
      <x:c r="K56" s="50" t="str">
        <x:v>2026-08-20</x:v>
      </x:c>
      <x:c r="L56" s="50" t="str"/>
      <x:c r="M56" s="50" t="n">
        <x:v>1</x:v>
      </x:c>
      <x:c r="N56" s="50" t="str">
        <x:f>IF(M56&gt;0,"REVIEW","READY")</x:f>
        <x:v>REVIEW</x:v>
      </x:c>
      <x:c r="O56" s="52" t="n">
        <x:f>IF(AND(ISNUMBER(G56),G56&gt;=0,ISNUMBER(I56),I56&gt;=0),G56*I56,"")</x:f>
        <x:v>15062.880000000001</x:v>
      </x:c>
      <x:c r="P56" s="50" t="str">
        <x:f>IF(N56="REVIEW","CHECK",IF(AND(ISNUMBER(G56),ISNUMBER(H56)),IF(G56&lt;H56,"LOW","OK"),"CHECK"))</x:f>
        <x:v>CHECK</x:v>
      </x:c>
    </x:row>
    <x:row r="57" ht="22" customHeight="1">
      <x:c r="A57" s="50" t="str">
        <x:v>IN-0052</x:v>
      </x:c>
      <x:c r="B57" s="50" t="str">
        <x:v>SP-1152</x:v>
      </x:c>
      <x:c r="C57" s="50" t="str">
        <x:v>Gear Reducer Seal - Type B</x:v>
      </x:c>
      <x:c r="D57" s="50" t="str">
        <x:v>Motors &amp; Drives</x:v>
      </x:c>
      <x:c r="E57" s="50" t="str">
        <x:v>WH-A-03-05</x:v>
      </x:c>
      <x:c r="F57" s="50" t="str">
        <x:v>EA</x:v>
      </x:c>
      <x:c r="G57" s="50" t="n">
        <x:v>48</x:v>
      </x:c>
      <x:c r="H57" s="50" t="n">
        <x:v>12</x:v>
      </x:c>
      <x:c r="I57" s="52" t="n">
        <x:v>186.06</x:v>
      </x:c>
      <x:c r="J57" s="50" t="str">
        <x:v>Canyon Equipment</x:v>
      </x:c>
      <x:c r="K57" s="50" t="str">
        <x:v>2026-07-15</x:v>
      </x:c>
      <x:c r="L57" s="50" t="str">
        <x:v>SP-1152</x:v>
      </x:c>
      <x:c r="M57" s="50" t="n">
        <x:v>1</x:v>
      </x:c>
      <x:c r="N57" s="50" t="str">
        <x:f>IF(M57&gt;0,"REVIEW","READY")</x:f>
        <x:v>REVIEW</x:v>
      </x:c>
      <x:c r="O57" s="52" t="n">
        <x:f>IF(AND(ISNUMBER(G57),G57&gt;=0,ISNUMBER(I57),I57&gt;=0),G57*I57,"")</x:f>
        <x:v>8930.880000000001</x:v>
      </x:c>
      <x:c r="P57" s="50" t="str">
        <x:f>IF(N57="REVIEW","CHECK",IF(AND(ISNUMBER(G57),ISNUMBER(H57)),IF(G57&lt;H57,"LOW","OK"),"CHECK"))</x:f>
        <x:v>CHECK</x:v>
      </x:c>
    </x:row>
    <x:row r="58" ht="22" customHeight="1">
      <x:c r="A58" s="50" t="str">
        <x:v>IN-0053</x:v>
      </x:c>
      <x:c r="B58" s="50" t="str">
        <x:v>SP-1153</x:v>
      </x:c>
      <x:c r="C58" s="50" t="str">
        <x:v>Motor Shaft Adapter - Type B</x:v>
      </x:c>
      <x:c r="D58" s="50" t="str">
        <x:v>Motors &amp; Drives</x:v>
      </x:c>
      <x:c r="E58" s="50" t="str">
        <x:v>WH-D-01-05</x:v>
      </x:c>
      <x:c r="F58" s="50" t="str">
        <x:v>EA</x:v>
      </x:c>
      <x:c r="G58" s="50" t="n">
        <x:v>54</x:v>
      </x:c>
      <x:c r="H58" s="50" t="n">
        <x:v>11</x:v>
      </x:c>
      <x:c r="I58" s="52" t="n">
        <x:v>133.46</x:v>
      </x:c>
      <x:c r="J58" s="50" t="str">
        <x:v>Canyon Equipment</x:v>
      </x:c>
      <x:c r="K58" s="50" t="str">
        <x:v>2026-08-09</x:v>
      </x:c>
      <x:c r="L58" s="50" t="str"/>
      <x:c r="M58" s="50" t="n">
        <x:v>0</x:v>
      </x:c>
      <x:c r="N58" s="50" t="str">
        <x:f>IF(M58&gt;0,"REVIEW","READY")</x:f>
        <x:v>READY</x:v>
      </x:c>
      <x:c r="O58" s="52" t="n">
        <x:f>IF(AND(ISNUMBER(G58),G58&gt;=0,ISNUMBER(I58),I58&gt;=0),G58*I58,"")</x:f>
        <x:v>7206.84</x:v>
      </x:c>
      <x:c r="P58" s="50" t="str">
        <x:f>IF(N58="REVIEW","CHECK",IF(AND(ISNUMBER(G58),ISNUMBER(H58)),IF(G58&lt;H58,"LOW","OK"),"CHECK"))</x:f>
        <x:v>OK</x:v>
      </x:c>
    </x:row>
    <x:row r="59" ht="22" customHeight="1">
      <x:c r="A59" s="50" t="str">
        <x:v>IN-0054</x:v>
      </x:c>
      <x:c r="B59" s="50" t="str">
        <x:v>SP-1154</x:v>
      </x:c>
      <x:c r="C59" s="50" t="str">
        <x:v>Motor Mount Plate - Series 2</x:v>
      </x:c>
      <x:c r="D59" s="50" t="str">
        <x:v>Motors &amp; Drives</x:v>
      </x:c>
      <x:c r="E59" s="50" t="str">
        <x:v>WH-A-04-01</x:v>
      </x:c>
      <x:c r="F59" s="50" t="str">
        <x:v>EA</x:v>
      </x:c>
      <x:c r="G59" s="50" t="n">
        <x:v>42</x:v>
      </x:c>
      <x:c r="H59" s="50" t="n">
        <x:v>11</x:v>
      </x:c>
      <x:c r="I59" s="52" t="n">
        <x:v>321.54</x:v>
      </x:c>
      <x:c r="J59" s="50" t="str">
        <x:v>North Forge Parts</x:v>
      </x:c>
      <x:c r="K59" s="50" t="str">
        <x:v>2026-08-11</x:v>
      </x:c>
      <x:c r="L59" s="50" t="str"/>
      <x:c r="M59" s="50" t="n">
        <x:v>0</x:v>
      </x:c>
      <x:c r="N59" s="50" t="str">
        <x:f>IF(M59&gt;0,"REVIEW","READY")</x:f>
        <x:v>READY</x:v>
      </x:c>
      <x:c r="O59" s="52" t="n">
        <x:f>IF(AND(ISNUMBER(G59),G59&gt;=0,ISNUMBER(I59),I59&gt;=0),G59*I59,"")</x:f>
        <x:v>13504.68</x:v>
      </x:c>
      <x:c r="P59" s="50" t="str">
        <x:f>IF(N59="REVIEW","CHECK",IF(AND(ISNUMBER(G59),ISNUMBER(H59)),IF(G59&lt;H59,"LOW","OK"),"CHECK"))</x:f>
        <x:v>OK</x:v>
      </x:c>
    </x:row>
    <x:row r="60" ht="22" customHeight="1">
      <x:c r="A60" s="50" t="str">
        <x:v>IN-0055</x:v>
      </x:c>
      <x:c r="B60" s="50" t="str">
        <x:v>SP-1155</x:v>
      </x:c>
      <x:c r="C60" s="50" t="str">
        <x:v>Encoder Coupling - Standard</x:v>
      </x:c>
      <x:c r="D60" s="50" t="str">
        <x:v>Motors &amp; Drives</x:v>
      </x:c>
      <x:c r="E60" s="50" t="str">
        <x:v>WH-A-01-03</x:v>
      </x:c>
      <x:c r="F60" s="50" t="str">
        <x:v>EA</x:v>
      </x:c>
      <x:c r="G60" s="50" t="n">
        <x:v>73</x:v>
      </x:c>
      <x:c r="H60" s="50" t="n">
        <x:v>22</x:v>
      </x:c>
      <x:c r="I60" s="52" t="n">
        <x:v>372.59</x:v>
      </x:c>
      <x:c r="J60" s="50" t="str">
        <x:v>Redgate Supply</x:v>
      </x:c>
      <x:c r="K60" s="50" t="str">
        <x:v>2026-09-26</x:v>
      </x:c>
      <x:c r="L60" s="50" t="str"/>
      <x:c r="M60" s="50" t="n">
        <x:v>0</x:v>
      </x:c>
      <x:c r="N60" s="50" t="str">
        <x:f>IF(M60&gt;0,"REVIEW","READY")</x:f>
        <x:v>READY</x:v>
      </x:c>
      <x:c r="O60" s="52" t="n">
        <x:f>IF(AND(ISNUMBER(G60),G60&gt;=0,ISNUMBER(I60),I60&gt;=0),G60*I60,"")</x:f>
        <x:v>27199.07</x:v>
      </x:c>
      <x:c r="P60" s="50" t="str">
        <x:f>IF(N60="REVIEW","CHECK",IF(AND(ISNUMBER(G60),ISNUMBER(H60)),IF(G60&lt;H60,"LOW","OK"),"CHECK"))</x:f>
        <x:v>OK</x:v>
      </x:c>
    </x:row>
    <x:row r="61" ht="22" customHeight="1">
      <x:c r="A61" s="50" t="str">
        <x:v>IN-0056</x:v>
      </x:c>
      <x:c r="B61" s="50" t="str">
        <x:v>SP-1156</x:v>
      </x:c>
      <x:c r="C61" s="50" t="str">
        <x:v>fan guard - standard</x:v>
      </x:c>
      <x:c r="D61" s="50" t="str">
        <x:v>Motors &amp; Drives</x:v>
      </x:c>
      <x:c r="E61" s="50" t="str">
        <x:v>WH-B-03-01</x:v>
      </x:c>
      <x:c r="F61" s="50" t="str">
        <x:v>EA</x:v>
      </x:c>
      <x:c r="G61" s="50"/>
      <x:c r="H61" s="50" t="n">
        <x:v>5</x:v>
      </x:c>
      <x:c r="I61" s="52" t="n">
        <x:v>113.44</x:v>
      </x:c>
      <x:c r="J61" s="50" t="str">
        <x:v>Meridian Industrial</x:v>
      </x:c>
      <x:c r="K61" s="50" t="str">
        <x:v>2026-07-08</x:v>
      </x:c>
      <x:c r="L61" s="50" t="str"/>
      <x:c r="M61" s="50" t="n">
        <x:v>1</x:v>
      </x:c>
      <x:c r="N61" s="50" t="str">
        <x:f>IF(M61&gt;0,"REVIEW","READY")</x:f>
        <x:v>REVIEW</x:v>
      </x:c>
      <x:c r="O61" s="52" t="str">
        <x:f>IF(AND(ISNUMBER(G61),G61&gt;=0,ISNUMBER(I61),I61&gt;=0),G61*I61,"")</x:f>
      </x:c>
      <x:c r="P61" s="50" t="str">
        <x:f>IF(N61="REVIEW","CHECK",IF(AND(ISNUMBER(G61),ISNUMBER(H61)),IF(G61&lt;H61,"LOW","OK"),"CHECK"))</x:f>
        <x:v>CHECK</x:v>
      </x:c>
    </x:row>
    <x:row r="62" ht="22" customHeight="1">
      <x:c r="A62" s="50" t="str">
        <x:v>IN-0057</x:v>
      </x:c>
      <x:c r="B62" s="50" t="str">
        <x:v>SP-1157</x:v>
      </x:c>
      <x:c r="C62" s="50" t="str">
        <x:v>Brake Resistor - Metric</x:v>
      </x:c>
      <x:c r="D62" s="50" t="str">
        <x:v>Motors &amp; Drives</x:v>
      </x:c>
      <x:c r="E62" s="50" t="str">
        <x:v>WH-C-02-04</x:v>
      </x:c>
      <x:c r="F62" s="50" t="str">
        <x:v>EA</x:v>
      </x:c>
      <x:c r="G62" s="50" t="n">
        <x:v>35</x:v>
      </x:c>
      <x:c r="H62" s="50" t="n">
        <x:v>11</x:v>
      </x:c>
      <x:c r="I62" s="52" t="n">
        <x:v>359.51</x:v>
      </x:c>
      <x:c r="J62" s="50" t="str">
        <x:v>Canyon Equipment</x:v>
      </x:c>
      <x:c r="K62" s="50" t="str">
        <x:v>2026-09-26</x:v>
      </x:c>
      <x:c r="L62" s="50" t="str"/>
      <x:c r="M62" s="50" t="n">
        <x:v>0</x:v>
      </x:c>
      <x:c r="N62" s="50" t="str">
        <x:f>IF(M62&gt;0,"REVIEW","READY")</x:f>
        <x:v>READY</x:v>
      </x:c>
      <x:c r="O62" s="52" t="n">
        <x:f>IF(AND(ISNUMBER(G62),G62&gt;=0,ISNUMBER(I62),I62&gt;=0),G62*I62,"")</x:f>
        <x:v>12582.85</x:v>
      </x:c>
      <x:c r="P62" s="50" t="str">
        <x:f>IF(N62="REVIEW","CHECK",IF(AND(ISNUMBER(G62),ISNUMBER(H62)),IF(G62&lt;H62,"LOW","OK"),"CHECK"))</x:f>
        <x:v>OK</x:v>
      </x:c>
    </x:row>
    <x:row r="63" ht="22" customHeight="1">
      <x:c r="A63" s="50" t="str">
        <x:v>IN-0058</x:v>
      </x:c>
      <x:c r="B63" s="50" t="str">
        <x:v>SP-1158</x:v>
      </x:c>
      <x:c r="C63" s="50" t="str">
        <x:v>Drive Key - Series 2</x:v>
      </x:c>
      <x:c r="D63" s="50" t="str">
        <x:v>Motors &amp; Drives</x:v>
      </x:c>
      <x:c r="E63" s="50" t="str">
        <x:v>WH-B-04-05</x:v>
      </x:c>
      <x:c r="F63" s="50" t="str">
        <x:v>EA</x:v>
      </x:c>
      <x:c r="G63" s="50" t="n">
        <x:v>32</x:v>
      </x:c>
      <x:c r="H63" s="50" t="n">
        <x:v>19</x:v>
      </x:c>
      <x:c r="I63" s="52" t="n">
        <x:v>388.86</x:v>
      </x:c>
      <x:c r="J63" s="50" t="str">
        <x:v>Meridian Industrial</x:v>
      </x:c>
      <x:c r="K63" s="50" t="str">
        <x:v>2026-07-07</x:v>
      </x:c>
      <x:c r="L63" s="50" t="str"/>
      <x:c r="M63" s="50" t="n">
        <x:v>0</x:v>
      </x:c>
      <x:c r="N63" s="50" t="str">
        <x:f>IF(M63&gt;0,"REVIEW","READY")</x:f>
        <x:v>READY</x:v>
      </x:c>
      <x:c r="O63" s="52" t="n">
        <x:f>IF(AND(ISNUMBER(G63),G63&gt;=0,ISNUMBER(I63),I63&gt;=0),G63*I63,"")</x:f>
        <x:v>12443.52</x:v>
      </x:c>
      <x:c r="P63" s="50" t="str">
        <x:f>IF(N63="REVIEW","CHECK",IF(AND(ISNUMBER(G63),ISNUMBER(H63)),IF(G63&lt;H63,"LOW","OK"),"CHECK"))</x:f>
        <x:v>OK</x:v>
      </x:c>
    </x:row>
    <x:row r="64" ht="22" customHeight="1">
      <x:c r="A64" s="50" t="str">
        <x:v>IN-0059</x:v>
      </x:c>
      <x:c r="B64" s="50" t="str">
        <x:v>SP-1159</x:v>
      </x:c>
      <x:c r="C64" s="50" t="str">
        <x:v>Motor Capacitor - Heavy Duty</x:v>
      </x:c>
      <x:c r="D64" s="50" t="str">
        <x:v>Motors &amp; Drives</x:v>
      </x:c>
      <x:c r="E64" s="50" t="str">
        <x:v>WH-A-04-05</x:v>
      </x:c>
      <x:c r="F64" s="50" t="str">
        <x:v>EA</x:v>
      </x:c>
      <x:c r="G64" s="50" t="n">
        <x:v>74</x:v>
      </x:c>
      <x:c r="H64" s="50" t="n">
        <x:v>9</x:v>
      </x:c>
      <x:c r="I64" s="52" t="n">
        <x:v>16.64</x:v>
      </x:c>
      <x:c r="J64" s="50" t="str">
        <x:v>Redgate Supply</x:v>
      </x:c>
      <x:c r="K64" s="50" t="str">
        <x:v>2026-08-26</x:v>
      </x:c>
      <x:c r="L64" s="50" t="str"/>
      <x:c r="M64" s="50" t="n">
        <x:v>0</x:v>
      </x:c>
      <x:c r="N64" s="50" t="str">
        <x:f>IF(M64&gt;0,"REVIEW","READY")</x:f>
        <x:v>READY</x:v>
      </x:c>
      <x:c r="O64" s="52" t="n">
        <x:f>IF(AND(ISNUMBER(G64),G64&gt;=0,ISNUMBER(I64),I64&gt;=0),G64*I64,"")</x:f>
        <x:v>1231.3600000000001</x:v>
      </x:c>
      <x:c r="P64" s="50" t="str">
        <x:f>IF(N64="REVIEW","CHECK",IF(AND(ISNUMBER(G64),ISNUMBER(H64)),IF(G64&lt;H64,"LOW","OK"),"CHECK"))</x:f>
        <x:v>OK</x:v>
      </x:c>
    </x:row>
    <x:row r="65" ht="22" customHeight="1">
      <x:c r="A65" s="50" t="str">
        <x:v>IN-0060</x:v>
      </x:c>
      <x:c r="B65" s="50" t="str">
        <x:v>SP-1160</x:v>
      </x:c>
      <x:c r="C65" s="50" t="str">
        <x:v>Fan Impeller - Series 2</x:v>
      </x:c>
      <x:c r="D65" s="50" t="str">
        <x:v>Motors &amp; Drives</x:v>
      </x:c>
      <x:c r="E65" s="50" t="str">
        <x:v>WH-C-04-03</x:v>
      </x:c>
      <x:c r="F65" s="50" t="str">
        <x:v>EA</x:v>
      </x:c>
      <x:c r="G65" s="50" t="n">
        <x:v>40</x:v>
      </x:c>
      <x:c r="H65" s="50" t="n">
        <x:v>19</x:v>
      </x:c>
      <x:c r="I65" s="52" t="n">
        <x:v>158.32</x:v>
      </x:c>
      <x:c r="J65" s="50" t="str">
        <x:v>Redgate Supply</x:v>
      </x:c>
      <x:c r="K65" s="50" t="str">
        <x:v>2026-09-27</x:v>
      </x:c>
      <x:c r="L65" s="50" t="str"/>
      <x:c r="M65" s="50" t="n">
        <x:v>0</x:v>
      </x:c>
      <x:c r="N65" s="50" t="str">
        <x:f>IF(M65&gt;0,"REVIEW","READY")</x:f>
        <x:v>READY</x:v>
      </x:c>
      <x:c r="O65" s="52" t="n">
        <x:f>IF(AND(ISNUMBER(G65),G65&gt;=0,ISNUMBER(I65),I65&gt;=0),G65*I65,"")</x:f>
        <x:v>6332.799999999999</x:v>
      </x:c>
      <x:c r="P65" s="50" t="str">
        <x:f>IF(N65="REVIEW","CHECK",IF(AND(ISNUMBER(G65),ISNUMBER(H65)),IF(G65&lt;H65,"LOW","OK"),"CHECK"))</x:f>
        <x:v>OK</x:v>
      </x:c>
    </x:row>
    <x:row r="66" ht="22" customHeight="1">
      <x:c r="A66" s="50" t="str">
        <x:v>IN-0061</x:v>
      </x:c>
      <x:c r="B66" s="50" t="str">
        <x:v>SP-1161</x:v>
      </x:c>
      <x:c r="C66" s="50" t="str">
        <x:v>Air Filter Regulator - Metric</x:v>
      </x:c>
      <x:c r="D66" s="50" t="str">
        <x:v>Pneumatics</x:v>
      </x:c>
      <x:c r="E66" s="50" t="str">
        <x:v>WH-C-02-02</x:v>
      </x:c>
      <x:c r="F66" s="50" t="str">
        <x:v>EA</x:v>
      </x:c>
      <x:c r="G66" s="50" t="n">
        <x:v>60</x:v>
      </x:c>
      <x:c r="H66" s="50" t="n">
        <x:v>17</x:v>
      </x:c>
      <x:c r="I66" s="52" t="n">
        <x:v>242.17</x:v>
      </x:c>
      <x:c r="J66" s="50" t="str">
        <x:v>Redgate Supply</x:v>
      </x:c>
      <x:c r="K66" s="50" t="str">
        <x:v>2026-08-03</x:v>
      </x:c>
      <x:c r="L66" s="50" t="str">
        <x:v>SP-1161</x:v>
      </x:c>
      <x:c r="M66" s="50" t="n">
        <x:v>1</x:v>
      </x:c>
      <x:c r="N66" s="50" t="str">
        <x:f>IF(M66&gt;0,"REVIEW","READY")</x:f>
        <x:v>REVIEW</x:v>
      </x:c>
      <x:c r="O66" s="52" t="n">
        <x:f>IF(AND(ISNUMBER(G66),G66&gt;=0,ISNUMBER(I66),I66&gt;=0),G66*I66,"")</x:f>
        <x:v>14530.199999999999</x:v>
      </x:c>
      <x:c r="P66" s="50" t="str">
        <x:f>IF(N66="REVIEW","CHECK",IF(AND(ISNUMBER(G66),ISNUMBER(H66)),IF(G66&lt;H66,"LOW","OK"),"CHECK"))</x:f>
        <x:v>CHECK</x:v>
      </x:c>
    </x:row>
    <x:row r="67" ht="22" customHeight="1">
      <x:c r="A67" s="50" t="str">
        <x:v>IN-0062</x:v>
      </x:c>
      <x:c r="B67" s="50" t="str">
        <x:v>SP-1162</x:v>
      </x:c>
      <x:c r="C67" s="50" t="str">
        <x:v>Pneumatic Cylinder - Type B</x:v>
      </x:c>
      <x:c r="D67" s="50" t="str">
        <x:v>Pneumatics</x:v>
      </x:c>
      <x:c r="E67" s="50" t="str">
        <x:v>WH-C-03-01</x:v>
      </x:c>
      <x:c r="F67" s="50" t="str">
        <x:v>EA</x:v>
      </x:c>
      <x:c r="G67" s="50" t="n">
        <x:v>63</x:v>
      </x:c>
      <x:c r="H67" s="50" t="n">
        <x:v>15</x:v>
      </x:c>
      <x:c r="I67" s="52" t="n">
        <x:v>264.59</x:v>
      </x:c>
      <x:c r="J67" s="50" t="str">
        <x:v>Meridian Industrial</x:v>
      </x:c>
      <x:c r="K67" s="50" t="str">
        <x:v>2026-07-11</x:v>
      </x:c>
      <x:c r="L67" s="50" t="str"/>
      <x:c r="M67" s="50" t="n">
        <x:v>0</x:v>
      </x:c>
      <x:c r="N67" s="50" t="str">
        <x:f>IF(M67&gt;0,"REVIEW","READY")</x:f>
        <x:v>READY</x:v>
      </x:c>
      <x:c r="O67" s="52" t="n">
        <x:f>IF(AND(ISNUMBER(G67),G67&gt;=0,ISNUMBER(I67),I67&gt;=0),G67*I67,"")</x:f>
        <x:v>16669.17</x:v>
      </x:c>
      <x:c r="P67" s="50" t="str">
        <x:f>IF(N67="REVIEW","CHECK",IF(AND(ISNUMBER(G67),ISNUMBER(H67)),IF(G67&lt;H67,"LOW","OK"),"CHECK"))</x:f>
        <x:v>OK</x:v>
      </x:c>
    </x:row>
    <x:row r="68" ht="22" customHeight="1">
      <x:c r="A68" s="50" t="str">
        <x:v>IN-0063</x:v>
      </x:c>
      <x:c r="B68" s="50" t="str">
        <x:v>SP-1163</x:v>
      </x:c>
      <x:c r="C68" s="50" t="str">
        <x:v>Solenoid Valve - Metric</x:v>
      </x:c>
      <x:c r="D68" s="50" t="str">
        <x:v>Pneumatics</x:v>
      </x:c>
      <x:c r="E68" s="50" t="str">
        <x:v>WH-A-01-03</x:v>
      </x:c>
      <x:c r="F68" s="50" t="str">
        <x:v>PAIR</x:v>
      </x:c>
      <x:c r="G68" s="50" t="n">
        <x:v>52</x:v>
      </x:c>
      <x:c r="H68" s="50"/>
      <x:c r="I68" s="52" t="n">
        <x:v>132.55</x:v>
      </x:c>
      <x:c r="J68" s="50" t="str">
        <x:v>Redgate Supply</x:v>
      </x:c>
      <x:c r="K68" s="50" t="str">
        <x:v>2026-09-27</x:v>
      </x:c>
      <x:c r="L68" s="50" t="str"/>
      <x:c r="M68" s="50" t="n">
        <x:v>1</x:v>
      </x:c>
      <x:c r="N68" s="50" t="str">
        <x:f>IF(M68&gt;0,"REVIEW","READY")</x:f>
        <x:v>REVIEW</x:v>
      </x:c>
      <x:c r="O68" s="52" t="n">
        <x:f>IF(AND(ISNUMBER(G68),G68&gt;=0,ISNUMBER(I68),I68&gt;=0),G68*I68,"")</x:f>
        <x:v>6892.6</x:v>
      </x:c>
      <x:c r="P68" s="50" t="str">
        <x:f>IF(N68="REVIEW","CHECK",IF(AND(ISNUMBER(G68),ISNUMBER(H68)),IF(G68&lt;H68,"LOW","OK"),"CHECK"))</x:f>
        <x:v>CHECK</x:v>
      </x:c>
    </x:row>
    <x:row r="69" ht="22" customHeight="1">
      <x:c r="A69" s="50" t="str">
        <x:v>IN-0064</x:v>
      </x:c>
      <x:c r="B69" s="50" t="str">
        <x:v>SP-1164</x:v>
      </x:c>
      <x:c r="C69" s="50" t="str">
        <x:v>push-to-connect fitting - type b</x:v>
      </x:c>
      <x:c r="D69" s="50" t="str">
        <x:v>Pneumatics</x:v>
      </x:c>
      <x:c r="E69" s="50" t="str">
        <x:v>WH-A-02-01</x:v>
      </x:c>
      <x:c r="F69" s="50" t="str">
        <x:v>BOX</x:v>
      </x:c>
      <x:c r="G69" s="50" t="n">
        <x:v>58</x:v>
      </x:c>
      <x:c r="H69" s="50" t="n">
        <x:v>17</x:v>
      </x:c>
      <x:c r="I69" s="52" t="n">
        <x:v>109.22</x:v>
      </x:c>
      <x:c r="J69" s="50" t="str">
        <x:v>North Forge Parts</x:v>
      </x:c>
      <x:c r="K69" s="50" t="str">
        <x:v>2026-09-18</x:v>
      </x:c>
      <x:c r="L69" s="50" t="str">
        <x:v>SP-1164</x:v>
      </x:c>
      <x:c r="M69" s="50" t="n">
        <x:v>1</x:v>
      </x:c>
      <x:c r="N69" s="50" t="str">
        <x:f>IF(M69&gt;0,"REVIEW","READY")</x:f>
        <x:v>REVIEW</x:v>
      </x:c>
      <x:c r="O69" s="52" t="n">
        <x:f>IF(AND(ISNUMBER(G69),G69&gt;=0,ISNUMBER(I69),I69&gt;=0),G69*I69,"")</x:f>
        <x:v>6334.76</x:v>
      </x:c>
      <x:c r="P69" s="50" t="str">
        <x:f>IF(N69="REVIEW","CHECK",IF(AND(ISNUMBER(G69),ISNUMBER(H69)),IF(G69&lt;H69,"LOW","OK"),"CHECK"))</x:f>
        <x:v>CHECK</x:v>
      </x:c>
    </x:row>
    <x:row r="70" ht="22" customHeight="1">
      <x:c r="A70" s="50" t="str">
        <x:v>IN-0065</x:v>
      </x:c>
      <x:c r="B70" s="50" t="str">
        <x:v>SP-1165</x:v>
      </x:c>
      <x:c r="C70" s="50" t="str">
        <x:v>Air Tubing Roll - Heavy Duty</x:v>
      </x:c>
      <x:c r="D70" s="50" t="str">
        <x:v>Pneumatics</x:v>
      </x:c>
      <x:c r="E70" s="50" t="str">
        <x:v>WH-D-03-02</x:v>
      </x:c>
      <x:c r="F70" s="50" t="str">
        <x:v>EA</x:v>
      </x:c>
      <x:c r="G70" s="50" t="n">
        <x:v>6</x:v>
      </x:c>
      <x:c r="H70" s="50" t="n">
        <x:v>20</x:v>
      </x:c>
      <x:c r="I70" s="52" t="n">
        <x:v>353.76</x:v>
      </x:c>
      <x:c r="J70" s="50" t="str">
        <x:v>Redgate Supply</x:v>
      </x:c>
      <x:c r="K70" s="50" t="str">
        <x:v>2026-09-24</x:v>
      </x:c>
      <x:c r="L70" s="50" t="str"/>
      <x:c r="M70" s="50" t="n">
        <x:v>0</x:v>
      </x:c>
      <x:c r="N70" s="50" t="str">
        <x:f>IF(M70&gt;0,"REVIEW","READY")</x:f>
        <x:v>READY</x:v>
      </x:c>
      <x:c r="O70" s="52" t="n">
        <x:f>IF(AND(ISNUMBER(G70),G70&gt;=0,ISNUMBER(I70),I70&gt;=0),G70*I70,"")</x:f>
        <x:v>2122.56</x:v>
      </x:c>
      <x:c r="P70" s="50" t="str">
        <x:f>IF(N70="REVIEW","CHECK",IF(AND(ISNUMBER(G70),ISNUMBER(H70)),IF(G70&lt;H70,"LOW","OK"),"CHECK"))</x:f>
        <x:v>LOW</x:v>
      </x:c>
    </x:row>
    <x:row r="71" ht="22" customHeight="1">
      <x:c r="A71" s="50" t="str">
        <x:v>IN-0066</x:v>
      </x:c>
      <x:c r="B71" s="50" t="str">
        <x:v>SP-1166</x:v>
      </x:c>
      <x:c r="C71" s="50" t="str">
        <x:v>Silencer Muffler - Series 2</x:v>
      </x:c>
      <x:c r="D71" s="50" t="str">
        <x:v>Pneumatics</x:v>
      </x:c>
      <x:c r="E71" s="50" t="str">
        <x:v>WH-D-01-04</x:v>
      </x:c>
      <x:c r="F71" s="50" t="str">
        <x:v>FT</x:v>
      </x:c>
      <x:c r="G71" s="50" t="n">
        <x:v>78</x:v>
      </x:c>
      <x:c r="H71" s="50" t="n">
        <x:v>4</x:v>
      </x:c>
      <x:c r="I71" s="52" t="n">
        <x:v>316.18</x:v>
      </x:c>
      <x:c r="J71" s="50" t="str">
        <x:v>Meridian Industrial</x:v>
      </x:c>
      <x:c r="K71" s="50" t="str">
        <x:v>2026-09-09</x:v>
      </x:c>
      <x:c r="L71" s="50" t="str"/>
      <x:c r="M71" s="50" t="n">
        <x:v>0</x:v>
      </x:c>
      <x:c r="N71" s="50" t="str">
        <x:f>IF(M71&gt;0,"REVIEW","READY")</x:f>
        <x:v>READY</x:v>
      </x:c>
      <x:c r="O71" s="52" t="n">
        <x:f>IF(AND(ISNUMBER(G71),G71&gt;=0,ISNUMBER(I71),I71&gt;=0),G71*I71,"")</x:f>
        <x:v>24662.04</x:v>
      </x:c>
      <x:c r="P71" s="50" t="str">
        <x:f>IF(N71="REVIEW","CHECK",IF(AND(ISNUMBER(G71),ISNUMBER(H71)),IF(G71&lt;H71,"LOW","OK"),"CHECK"))</x:f>
        <x:v>OK</x:v>
      </x:c>
    </x:row>
    <x:row r="72" ht="22" customHeight="1">
      <x:c r="A72" s="50" t="str">
        <x:v>IN-0067</x:v>
      </x:c>
      <x:c r="B72" s="50" t="str">
        <x:v>MISSING</x:v>
      </x:c>
      <x:c r="C72" s="50" t="str">
        <x:v>Pressure Switch - Standard</x:v>
      </x:c>
      <x:c r="D72" s="50" t="str">
        <x:v>Pneumatics</x:v>
      </x:c>
      <x:c r="E72" s="50" t="str">
        <x:v>WH-B-01-03</x:v>
      </x:c>
      <x:c r="F72" s="50" t="str">
        <x:v>EA</x:v>
      </x:c>
      <x:c r="G72" s="50" t="n">
        <x:v>14</x:v>
      </x:c>
      <x:c r="H72" s="50" t="n">
        <x:v>20</x:v>
      </x:c>
      <x:c r="I72" s="52" t="n">
        <x:v>353.39</x:v>
      </x:c>
      <x:c r="J72" s="50" t="str">
        <x:v>Canyon Equipment</x:v>
      </x:c>
      <x:c r="K72" s="50" t="str">
        <x:v>2026-09-19</x:v>
      </x:c>
      <x:c r="L72" s="50" t="str"/>
      <x:c r="M72" s="50" t="n">
        <x:v>1</x:v>
      </x:c>
      <x:c r="N72" s="50" t="str">
        <x:f>IF(M72&gt;0,"REVIEW","READY")</x:f>
        <x:v>REVIEW</x:v>
      </x:c>
      <x:c r="O72" s="52" t="n">
        <x:f>IF(AND(ISNUMBER(G72),G72&gt;=0,ISNUMBER(I72),I72&gt;=0),G72*I72,"")</x:f>
        <x:v>4947.46</x:v>
      </x:c>
      <x:c r="P72" s="50" t="str">
        <x:f>IF(N72="REVIEW","CHECK",IF(AND(ISNUMBER(G72),ISNUMBER(H72)),IF(G72&lt;H72,"LOW","OK"),"CHECK"))</x:f>
        <x:v>CHECK</x:v>
      </x:c>
    </x:row>
    <x:row r="73" ht="22" customHeight="1">
      <x:c r="A73" s="50" t="str">
        <x:v>IN-0068</x:v>
      </x:c>
      <x:c r="B73" s="50" t="str">
        <x:v>SP-1168</x:v>
      </x:c>
      <x:c r="C73" s="50" t="str">
        <x:v>Flow Restrictor - Standard</x:v>
      </x:c>
      <x:c r="D73" s="50" t="str">
        <x:v>Pneumatics</x:v>
      </x:c>
      <x:c r="E73" s="50" t="str">
        <x:v>WH-B-03-04</x:v>
      </x:c>
      <x:c r="F73" s="50" t="str">
        <x:v>EA</x:v>
      </x:c>
      <x:c r="G73" s="50" t="n">
        <x:v>44</x:v>
      </x:c>
      <x:c r="H73" s="50" t="n">
        <x:v>15</x:v>
      </x:c>
      <x:c r="I73" s="52" t="n">
        <x:v>44.11</x:v>
      </x:c>
      <x:c r="J73" s="50" t="str">
        <x:v>Canyon Equipment</x:v>
      </x:c>
      <x:c r="K73" s="50" t="str">
        <x:v>2026-09-19</x:v>
      </x:c>
      <x:c r="L73" s="50" t="str"/>
      <x:c r="M73" s="50" t="n">
        <x:v>0</x:v>
      </x:c>
      <x:c r="N73" s="50" t="str">
        <x:f>IF(M73&gt;0,"REVIEW","READY")</x:f>
        <x:v>READY</x:v>
      </x:c>
      <x:c r="O73" s="52" t="n">
        <x:f>IF(AND(ISNUMBER(G73),G73&gt;=0,ISNUMBER(I73),I73&gt;=0),G73*I73,"")</x:f>
        <x:v>1940.84</x:v>
      </x:c>
      <x:c r="P73" s="50" t="str">
        <x:f>IF(N73="REVIEW","CHECK",IF(AND(ISNUMBER(G73),ISNUMBER(H73)),IF(G73&lt;H73,"LOW","OK"),"CHECK"))</x:f>
        <x:v>OK</x:v>
      </x:c>
    </x:row>
    <x:row r="74" ht="22" customHeight="1">
      <x:c r="A74" s="50" t="str">
        <x:v>IN-0069</x:v>
      </x:c>
      <x:c r="B74" s="50" t="str">
        <x:v>SP-1169</x:v>
      </x:c>
      <x:c r="C74" s="50" t="str">
        <x:v>Air Manifold - Heavy Duty</x:v>
      </x:c>
      <x:c r="D74" s="50" t="str">
        <x:v>Pneumatics</x:v>
      </x:c>
      <x:c r="E74" s="50" t="str">
        <x:v>WH-D-04-01</x:v>
      </x:c>
      <x:c r="F74" s="50" t="str">
        <x:v>EA</x:v>
      </x:c>
      <x:c r="G74" s="50" t="n">
        <x:v>36</x:v>
      </x:c>
      <x:c r="H74" s="50" t="n">
        <x:v>19</x:v>
      </x:c>
      <x:c r="I74" s="52" t="n">
        <x:v>95.47</x:v>
      </x:c>
      <x:c r="J74" s="50" t="str">
        <x:v>Redgate Supply</x:v>
      </x:c>
      <x:c r="K74" s="50" t="str">
        <x:v>2026-07-20</x:v>
      </x:c>
      <x:c r="L74" s="50" t="str"/>
      <x:c r="M74" s="50" t="n">
        <x:v>0</x:v>
      </x:c>
      <x:c r="N74" s="50" t="str">
        <x:f>IF(M74&gt;0,"REVIEW","READY")</x:f>
        <x:v>READY</x:v>
      </x:c>
      <x:c r="O74" s="52" t="n">
        <x:f>IF(AND(ISNUMBER(G74),G74&gt;=0,ISNUMBER(I74),I74&gt;=0),G74*I74,"")</x:f>
        <x:v>3436.92</x:v>
      </x:c>
      <x:c r="P74" s="50" t="str">
        <x:f>IF(N74="REVIEW","CHECK",IF(AND(ISNUMBER(G74),ISNUMBER(H74)),IF(G74&lt;H74,"LOW","OK"),"CHECK"))</x:f>
        <x:v>OK</x:v>
      </x:c>
    </x:row>
    <x:row r="75" ht="22" customHeight="1">
      <x:c r="A75" s="50" t="str">
        <x:v>IN-0070</x:v>
      </x:c>
      <x:c r="B75" s="50" t="str">
        <x:v>SP-1170</x:v>
      </x:c>
      <x:c r="C75" s="50" t="str">
        <x:v>Quick Exhaust Valve - Metric</x:v>
      </x:c>
      <x:c r="D75" s="50" t="str">
        <x:v>Pneumatics</x:v>
      </x:c>
      <x:c r="E75" s="50" t="str">
        <x:v>WH-C-01-04</x:v>
      </x:c>
      <x:c r="F75" s="50" t="str">
        <x:v>EA</x:v>
      </x:c>
      <x:c r="G75" s="50" t="n">
        <x:v>55</x:v>
      </x:c>
      <x:c r="H75" s="50" t="n">
        <x:v>8</x:v>
      </x:c>
      <x:c r="I75" s="52" t="n">
        <x:v>300.66</x:v>
      </x:c>
      <x:c r="J75" s="50" t="str">
        <x:v>Meridian Industrial</x:v>
      </x:c>
      <x:c r="K75" s="50" t="str">
        <x:v>2026-09-24</x:v>
      </x:c>
      <x:c r="L75" s="50" t="str"/>
      <x:c r="M75" s="50" t="n">
        <x:v>0</x:v>
      </x:c>
      <x:c r="N75" s="50" t="str">
        <x:f>IF(M75&gt;0,"REVIEW","READY")</x:f>
        <x:v>READY</x:v>
      </x:c>
      <x:c r="O75" s="52" t="n">
        <x:f>IF(AND(ISNUMBER(G75),G75&gt;=0,ISNUMBER(I75),I75&gt;=0),G75*I75,"")</x:f>
        <x:v>16536.300000000003</x:v>
      </x:c>
      <x:c r="P75" s="50" t="str">
        <x:f>IF(N75="REVIEW","CHECK",IF(AND(ISNUMBER(G75),ISNUMBER(H75)),IF(G75&lt;H75,"LOW","OK"),"CHECK"))</x:f>
        <x:v>OK</x:v>
      </x:c>
    </x:row>
    <x:row r="76" ht="22" customHeight="1">
      <x:c r="A76" s="50" t="str">
        <x:v>IN-0071</x:v>
      </x:c>
      <x:c r="B76" s="50" t="str">
        <x:v>SP-1171</x:v>
      </x:c>
      <x:c r="C76" s="50" t="str">
        <x:v>Vacuum Cup - Series 2</x:v>
      </x:c>
      <x:c r="D76" s="50" t="str">
        <x:v>Pneumatics</x:v>
      </x:c>
      <x:c r="E76" s="50" t="str">
        <x:v>WH-C-01-03</x:v>
      </x:c>
      <x:c r="F76" s="50" t="str">
        <x:v>BOX</x:v>
      </x:c>
      <x:c r="G76" s="50" t="n">
        <x:v>4</x:v>
      </x:c>
      <x:c r="H76" s="50" t="n">
        <x:v>5</x:v>
      </x:c>
      <x:c r="I76" s="52" t="n">
        <x:v>258.43</x:v>
      </x:c>
      <x:c r="J76" s="50" t="str">
        <x:v>Meridian Industrial</x:v>
      </x:c>
      <x:c r="K76" s="50" t="str">
        <x:v>2026-07-20</x:v>
      </x:c>
      <x:c r="L76" s="50" t="str"/>
      <x:c r="M76" s="50" t="n">
        <x:v>0</x:v>
      </x:c>
      <x:c r="N76" s="50" t="str">
        <x:f>IF(M76&gt;0,"REVIEW","READY")</x:f>
        <x:v>READY</x:v>
      </x:c>
      <x:c r="O76" s="52" t="n">
        <x:f>IF(AND(ISNUMBER(G76),G76&gt;=0,ISNUMBER(I76),I76&gt;=0),G76*I76,"")</x:f>
        <x:v>1033.72</x:v>
      </x:c>
      <x:c r="P76" s="50" t="str">
        <x:f>IF(N76="REVIEW","CHECK",IF(AND(ISNUMBER(G76),ISNUMBER(H76)),IF(G76&lt;H76,"LOW","OK"),"CHECK"))</x:f>
        <x:v>LOW</x:v>
      </x:c>
    </x:row>
    <x:row r="77" ht="22" customHeight="1">
      <x:c r="A77" s="50" t="str">
        <x:v>IN-0072</x:v>
      </x:c>
      <x:c r="B77" s="50" t="str">
        <x:v>SP-1172</x:v>
      </x:c>
      <x:c r="C77" s="50" t="str">
        <x:v>air hose reel - standard</x:v>
      </x:c>
      <x:c r="D77" s="50" t="str">
        <x:v>Pneumatics</x:v>
      </x:c>
      <x:c r="E77" s="50" t="str">
        <x:v>WH-A-01-05</x:v>
      </x:c>
      <x:c r="F77" s="50" t="str">
        <x:v>PAIR</x:v>
      </x:c>
      <x:c r="G77" s="50" t="n">
        <x:v>45</x:v>
      </x:c>
      <x:c r="H77" s="50" t="n">
        <x:v>9</x:v>
      </x:c>
      <x:c r="I77" s="52" t="n">
        <x:v>215.69</x:v>
      </x:c>
      <x:c r="J77" s="50" t="str">
        <x:v>Meridian Industrial</x:v>
      </x:c>
      <x:c r="K77" s="50" t="str">
        <x:v>2026-07-20</x:v>
      </x:c>
      <x:c r="L77" s="50" t="str"/>
      <x:c r="M77" s="50" t="n">
        <x:v>0</x:v>
      </x:c>
      <x:c r="N77" s="50" t="str">
        <x:f>IF(M77&gt;0,"REVIEW","READY")</x:f>
        <x:v>READY</x:v>
      </x:c>
      <x:c r="O77" s="52" t="n">
        <x:f>IF(AND(ISNUMBER(G77),G77&gt;=0,ISNUMBER(I77),I77&gt;=0),G77*I77,"")</x:f>
        <x:v>9706.05</x:v>
      </x:c>
      <x:c r="P77" s="50" t="str">
        <x:f>IF(N77="REVIEW","CHECK",IF(AND(ISNUMBER(G77),ISNUMBER(H77)),IF(G77&lt;H77,"LOW","OK"),"CHECK"))</x:f>
        <x:v>OK</x:v>
      </x:c>
    </x:row>
    <x:row r="78" ht="22" customHeight="1">
      <x:c r="A78" s="50" t="str">
        <x:v>IN-0073</x:v>
      </x:c>
      <x:c r="B78" s="50" t="str">
        <x:v>SP-1173</x:v>
      </x:c>
      <x:c r="C78" s="50" t="str">
        <x:v>Hex Head Bolt - Series 2</x:v>
      </x:c>
      <x:c r="D78" s="50" t="str">
        <x:v>Fasteners &amp; Hardware</x:v>
      </x:c>
      <x:c r="E78" s="50" t="str">
        <x:v>WH-B-02-03</x:v>
      </x:c>
      <x:c r="F78" s="50" t="str">
        <x:v>PAIR</x:v>
      </x:c>
      <x:c r="G78" s="50"/>
      <x:c r="H78" s="50" t="n">
        <x:v>13</x:v>
      </x:c>
      <x:c r="I78" s="52" t="n">
        <x:v>317.45</x:v>
      </x:c>
      <x:c r="J78" s="50" t="str">
        <x:v>North Forge Parts</x:v>
      </x:c>
      <x:c r="K78" s="50" t="str">
        <x:v>2026-07-30</x:v>
      </x:c>
      <x:c r="L78" s="50" t="str"/>
      <x:c r="M78" s="50" t="n">
        <x:v>1</x:v>
      </x:c>
      <x:c r="N78" s="50" t="str">
        <x:f>IF(M78&gt;0,"REVIEW","READY")</x:f>
        <x:v>REVIEW</x:v>
      </x:c>
      <x:c r="O78" s="52" t="str">
        <x:f>IF(AND(ISNUMBER(G78),G78&gt;=0,ISNUMBER(I78),I78&gt;=0),G78*I78,"")</x:f>
      </x:c>
      <x:c r="P78" s="50" t="str">
        <x:f>IF(N78="REVIEW","CHECK",IF(AND(ISNUMBER(G78),ISNUMBER(H78)),IF(G78&lt;H78,"LOW","OK"),"CHECK"))</x:f>
        <x:v>CHECK</x:v>
      </x:c>
    </x:row>
    <x:row r="79" ht="22" customHeight="1">
      <x:c r="A79" s="50" t="str">
        <x:v>IN-0074</x:v>
      </x:c>
      <x:c r="B79" s="50" t="str">
        <x:v>SP-1174</x:v>
      </x:c>
      <x:c r="C79" s="50" t="str">
        <x:v>Flat Washer - Type B</x:v>
      </x:c>
      <x:c r="D79" s="50" t="str">
        <x:v>Fasteners &amp; Hardware</x:v>
      </x:c>
      <x:c r="E79" s="50" t="str">
        <x:v>WH-B-02-03</x:v>
      </x:c>
      <x:c r="F79" s="50" t="str">
        <x:v>BOX</x:v>
      </x:c>
      <x:c r="G79" s="50" t="n">
        <x:v>60</x:v>
      </x:c>
      <x:c r="H79" s="50" t="n">
        <x:v>12</x:v>
      </x:c>
      <x:c r="I79" s="52" t="n">
        <x:v>316.9</x:v>
      </x:c>
      <x:c r="J79" s="50" t="str">
        <x:v>North Forge Parts</x:v>
      </x:c>
      <x:c r="K79" s="50" t="str">
        <x:v>2026-08-16</x:v>
      </x:c>
      <x:c r="L79" s="50" t="str"/>
      <x:c r="M79" s="50" t="n">
        <x:v>0</x:v>
      </x:c>
      <x:c r="N79" s="50" t="str">
        <x:f>IF(M79&gt;0,"REVIEW","READY")</x:f>
        <x:v>READY</x:v>
      </x:c>
      <x:c r="O79" s="52" t="n">
        <x:f>IF(AND(ISNUMBER(G79),G79&gt;=0,ISNUMBER(I79),I79&gt;=0),G79*I79,"")</x:f>
        <x:v>19014</x:v>
      </x:c>
      <x:c r="P79" s="50" t="str">
        <x:f>IF(N79="REVIEW","CHECK",IF(AND(ISNUMBER(G79),ISNUMBER(H79)),IF(G79&lt;H79,"LOW","OK"),"CHECK"))</x:f>
        <x:v>OK</x:v>
      </x:c>
    </x:row>
    <x:row r="80" ht="22" customHeight="1">
      <x:c r="A80" s="50" t="str">
        <x:v>IN-0075</x:v>
      </x:c>
      <x:c r="B80" s="50" t="str">
        <x:v>SP-1175</x:v>
      </x:c>
      <x:c r="C80" s="50" t="str">
        <x:v>Socket Head Cap Screw - Heavy Duty</x:v>
      </x:c>
      <x:c r="D80" s="50" t="str">
        <x:v>Fasteners &amp; Hardware</x:v>
      </x:c>
      <x:c r="E80" s="50" t="str">
        <x:v>WH-B-01-03</x:v>
      </x:c>
      <x:c r="F80" s="50" t="str">
        <x:v>BOX</x:v>
      </x:c>
      <x:c r="G80" s="50" t="n">
        <x:v>51</x:v>
      </x:c>
      <x:c r="H80" s="50" t="n">
        <x:v>20</x:v>
      </x:c>
      <x:c r="I80" s="52" t="n">
        <x:v>371.85</x:v>
      </x:c>
      <x:c r="J80" s="50" t="str">
        <x:v>Meridian Industrial</x:v>
      </x:c>
      <x:c r="K80" s="50" t="str">
        <x:v>2026-07-09</x:v>
      </x:c>
      <x:c r="L80" s="50" t="str">
        <x:v>SP-1175</x:v>
      </x:c>
      <x:c r="M80" s="50" t="n">
        <x:v>1</x:v>
      </x:c>
      <x:c r="N80" s="50" t="str">
        <x:f>IF(M80&gt;0,"REVIEW","READY")</x:f>
        <x:v>REVIEW</x:v>
      </x:c>
      <x:c r="O80" s="52" t="n">
        <x:f>IF(AND(ISNUMBER(G80),G80&gt;=0,ISNUMBER(I80),I80&gt;=0),G80*I80,"")</x:f>
        <x:v>18964.350000000002</x:v>
      </x:c>
      <x:c r="P80" s="50" t="str">
        <x:f>IF(N80="REVIEW","CHECK",IF(AND(ISNUMBER(G80),ISNUMBER(H80)),IF(G80&lt;H80,"LOW","OK"),"CHECK"))</x:f>
        <x:v>CHECK</x:v>
      </x:c>
    </x:row>
    <x:row r="81" ht="22" customHeight="1">
      <x:c r="A81" s="50" t="str">
        <x:v>IN-0076</x:v>
      </x:c>
      <x:c r="B81" s="50" t="str">
        <x:v>SP-1176</x:v>
      </x:c>
      <x:c r="C81" s="50" t="str">
        <x:v>Nyloc Nut - Heavy Duty</x:v>
      </x:c>
      <x:c r="D81" s="50" t="str">
        <x:v>Fasteners &amp; Hardware</x:v>
      </x:c>
      <x:c r="E81" s="50" t="str">
        <x:v>WH-C-02-03</x:v>
      </x:c>
      <x:c r="F81" s="50" t="str">
        <x:v>EA</x:v>
      </x:c>
      <x:c r="G81" s="50" t="n">
        <x:v>61</x:v>
      </x:c>
      <x:c r="H81" s="50" t="n">
        <x:v>11</x:v>
      </x:c>
      <x:c r="I81" s="52" t="n">
        <x:v>322.64</x:v>
      </x:c>
      <x:c r="J81" s="50" t="str">
        <x:v>Canyon Equipment</x:v>
      </x:c>
      <x:c r="K81" s="50" t="str">
        <x:v>2026-09-03</x:v>
      </x:c>
      <x:c r="L81" s="50" t="str"/>
      <x:c r="M81" s="50" t="n">
        <x:v>0</x:v>
      </x:c>
      <x:c r="N81" s="50" t="str">
        <x:f>IF(M81&gt;0,"REVIEW","READY")</x:f>
        <x:v>READY</x:v>
      </x:c>
      <x:c r="O81" s="52" t="n">
        <x:f>IF(AND(ISNUMBER(G81),G81&gt;=0,ISNUMBER(I81),I81&gt;=0),G81*I81,"")</x:f>
        <x:v>19681.04</x:v>
      </x:c>
      <x:c r="P81" s="50" t="str">
        <x:f>IF(N81="REVIEW","CHECK",IF(AND(ISNUMBER(G81),ISNUMBER(H81)),IF(G81&lt;H81,"LOW","OK"),"CHECK"))</x:f>
        <x:v>OK</x:v>
      </x:c>
    </x:row>
    <x:row r="82" ht="22" customHeight="1">
      <x:c r="A82" s="50" t="str">
        <x:v>IN-0077</x:v>
      </x:c>
      <x:c r="B82" s="50" t="str">
        <x:v>SP-1177</x:v>
      </x:c>
      <x:c r="C82" s="50" t="str">
        <x:v>Spring Washer - Standard</x:v>
      </x:c>
      <x:c r="D82" s="50" t="str">
        <x:v>Fasteners &amp; Hardware</x:v>
      </x:c>
      <x:c r="E82" s="50" t="str">
        <x:v>WH-D-03-05</x:v>
      </x:c>
      <x:c r="F82" s="50" t="str">
        <x:v>FT</x:v>
      </x:c>
      <x:c r="G82" s="50" t="n">
        <x:v>5</x:v>
      </x:c>
      <x:c r="H82" s="50" t="n">
        <x:v>19</x:v>
      </x:c>
      <x:c r="I82" s="52" t="n">
        <x:v>23.26</x:v>
      </x:c>
      <x:c r="J82" s="50" t="str">
        <x:v>Canyon Equipment</x:v>
      </x:c>
      <x:c r="K82" s="50" t="str">
        <x:v>2026-09-28</x:v>
      </x:c>
      <x:c r="L82" s="50" t="str"/>
      <x:c r="M82" s="50" t="n">
        <x:v>0</x:v>
      </x:c>
      <x:c r="N82" s="50" t="str">
        <x:f>IF(M82&gt;0,"REVIEW","READY")</x:f>
        <x:v>READY</x:v>
      </x:c>
      <x:c r="O82" s="52" t="n">
        <x:f>IF(AND(ISNUMBER(G82),G82&gt;=0,ISNUMBER(I82),I82&gt;=0),G82*I82,"")</x:f>
        <x:v>116.30000000000001</x:v>
      </x:c>
      <x:c r="P82" s="50" t="str">
        <x:f>IF(N82="REVIEW","CHECK",IF(AND(ISNUMBER(G82),ISNUMBER(H82)),IF(G82&lt;H82,"LOW","OK"),"CHECK"))</x:f>
        <x:v>LOW</x:v>
      </x:c>
    </x:row>
    <x:row r="83" ht="22" customHeight="1">
      <x:c r="A83" s="50" t="str">
        <x:v>IN-0078</x:v>
      </x:c>
      <x:c r="B83" s="50" t="str">
        <x:v>SP-1178</x:v>
      </x:c>
      <x:c r="C83" s="50" t="str">
        <x:v>Threaded Rod - Metric</x:v>
      </x:c>
      <x:c r="D83" s="50" t="str">
        <x:v>Fasteners &amp; Hardware</x:v>
      </x:c>
      <x:c r="E83" s="50" t="str">
        <x:v>WH-C-03-01</x:v>
      </x:c>
      <x:c r="F83" s="50" t="str">
        <x:v>EA</x:v>
      </x:c>
      <x:c r="G83" s="50" t="n">
        <x:v>0</x:v>
      </x:c>
      <x:c r="H83" s="50" t="n">
        <x:v>14</x:v>
      </x:c>
      <x:c r="I83" s="52" t="n">
        <x:v>187.81</x:v>
      </x:c>
      <x:c r="J83" s="50" t="str">
        <x:v>Redgate Supply</x:v>
      </x:c>
      <x:c r="K83" s="50" t="str">
        <x:v>2026-08-08</x:v>
      </x:c>
      <x:c r="L83" s="50" t="str"/>
      <x:c r="M83" s="50" t="n">
        <x:v>0</x:v>
      </x:c>
      <x:c r="N83" s="50" t="str">
        <x:f>IF(M83&gt;0,"REVIEW","READY")</x:f>
        <x:v>READY</x:v>
      </x:c>
      <x:c r="O83" s="52" t="n">
        <x:f>IF(AND(ISNUMBER(G83),G83&gt;=0,ISNUMBER(I83),I83&gt;=0),G83*I83,"")</x:f>
        <x:v>0</x:v>
      </x:c>
      <x:c r="P83" s="50" t="str">
        <x:f>IF(N83="REVIEW","CHECK",IF(AND(ISNUMBER(G83),ISNUMBER(H83)),IF(G83&lt;H83,"LOW","OK"),"CHECK"))</x:f>
        <x:v>LOW</x:v>
      </x:c>
    </x:row>
    <x:row r="84" ht="22" customHeight="1">
      <x:c r="A84" s="50" t="str">
        <x:v>IN-0079</x:v>
      </x:c>
      <x:c r="B84" s="50" t="str">
        <x:v>SP-1179</x:v>
      </x:c>
      <x:c r="C84" s="50" t="str">
        <x:v>Roll Pin - Type B</x:v>
      </x:c>
      <x:c r="D84" s="50" t="str">
        <x:v>Fasteners &amp; Hardware</x:v>
      </x:c>
      <x:c r="E84" s="50" t="str">
        <x:v>WH-B-04-02</x:v>
      </x:c>
      <x:c r="F84" s="50" t="str">
        <x:v>EA</x:v>
      </x:c>
      <x:c r="G84" s="50" t="n">
        <x:v>37</x:v>
      </x:c>
      <x:c r="H84" s="50" t="n">
        <x:v>-1</x:v>
      </x:c>
      <x:c r="I84" s="52" t="n">
        <x:v>249.11</x:v>
      </x:c>
      <x:c r="J84" s="50" t="str">
        <x:v>Meridian Industrial</x:v>
      </x:c>
      <x:c r="K84" s="50" t="str">
        <x:v>2026-09-09</x:v>
      </x:c>
      <x:c r="L84" s="50" t="str"/>
      <x:c r="M84" s="50" t="n">
        <x:v>1</x:v>
      </x:c>
      <x:c r="N84" s="50" t="str">
        <x:f>IF(M84&gt;0,"REVIEW","READY")</x:f>
        <x:v>REVIEW</x:v>
      </x:c>
      <x:c r="O84" s="52" t="n">
        <x:f>IF(AND(ISNUMBER(G84),G84&gt;=0,ISNUMBER(I84),I84&gt;=0),G84*I84,"")</x:f>
        <x:v>9217.07</x:v>
      </x:c>
      <x:c r="P84" s="50" t="str">
        <x:f>IF(N84="REVIEW","CHECK",IF(AND(ISNUMBER(G84),ISNUMBER(H84)),IF(G84&lt;H84,"LOW","OK"),"CHECK"))</x:f>
        <x:v>CHECK</x:v>
      </x:c>
    </x:row>
    <x:row r="85" ht="22" customHeight="1">
      <x:c r="A85" s="50" t="str">
        <x:v>IN-0080</x:v>
      </x:c>
      <x:c r="B85" s="50" t="str">
        <x:v>SP-1180</x:v>
      </x:c>
      <x:c r="C85" s="50" t="str">
        <x:v>lock washer - metric</x:v>
      </x:c>
      <x:c r="D85" s="50" t="str">
        <x:v>Fasteners &amp; Hardware</x:v>
      </x:c>
      <x:c r="E85" s="50" t="str">
        <x:v>WH-A-02-03</x:v>
      </x:c>
      <x:c r="F85" s="50" t="str">
        <x:v>EA</x:v>
      </x:c>
      <x:c r="G85" s="50" t="n">
        <x:v>1</x:v>
      </x:c>
      <x:c r="H85" s="50" t="n">
        <x:v>22</x:v>
      </x:c>
      <x:c r="I85" s="52" t="n">
        <x:v>342.64</x:v>
      </x:c>
      <x:c r="J85" s="50" t="str">
        <x:v>Meridian Industrial</x:v>
      </x:c>
      <x:c r="K85" s="50" t="str">
        <x:v>2026-07-17</x:v>
      </x:c>
      <x:c r="L85" s="50" t="str"/>
      <x:c r="M85" s="50" t="n">
        <x:v>0</x:v>
      </x:c>
      <x:c r="N85" s="50" t="str">
        <x:f>IF(M85&gt;0,"REVIEW","READY")</x:f>
        <x:v>READY</x:v>
      </x:c>
      <x:c r="O85" s="52" t="n">
        <x:f>IF(AND(ISNUMBER(G85),G85&gt;=0,ISNUMBER(I85),I85&gt;=0),G85*I85,"")</x:f>
        <x:v>342.64</x:v>
      </x:c>
      <x:c r="P85" s="50" t="str">
        <x:f>IF(N85="REVIEW","CHECK",IF(AND(ISNUMBER(G85),ISNUMBER(H85)),IF(G85&lt;H85,"LOW","OK"),"CHECK"))</x:f>
        <x:v>LOW</x:v>
      </x:c>
    </x:row>
    <x:row r="86" ht="22" customHeight="1">
      <x:c r="A86" s="50" t="str">
        <x:v>IN-0081</x:v>
      </x:c>
      <x:c r="B86" s="50" t="str">
        <x:v>SP-1181</x:v>
      </x:c>
      <x:c r="C86" s="50" t="str">
        <x:v>Clevis Pin - Heavy Duty</x:v>
      </x:c>
      <x:c r="D86" s="50" t="str">
        <x:v>Fasteners &amp; Hardware</x:v>
      </x:c>
      <x:c r="E86" s="50" t="str">
        <x:v>WH-A-01-01</x:v>
      </x:c>
      <x:c r="F86" s="50" t="str">
        <x:v>BOX</x:v>
      </x:c>
      <x:c r="G86" s="50" t="n">
        <x:v>1</x:v>
      </x:c>
      <x:c r="H86" s="50" t="n">
        <x:v>17</x:v>
      </x:c>
      <x:c r="I86" s="52" t="n">
        <x:v>193.54</x:v>
      </x:c>
      <x:c r="J86" s="50" t="str">
        <x:v>TBD vendor</x:v>
      </x:c>
      <x:c r="K86" s="50" t="str">
        <x:v>2026-08-07</x:v>
      </x:c>
      <x:c r="L86" s="50" t="str"/>
      <x:c r="M86" s="50" t="n">
        <x:v>1</x:v>
      </x:c>
      <x:c r="N86" s="50" t="str">
        <x:f>IF(M86&gt;0,"REVIEW","READY")</x:f>
        <x:v>REVIEW</x:v>
      </x:c>
      <x:c r="O86" s="52" t="n">
        <x:f>IF(AND(ISNUMBER(G86),G86&gt;=0,ISNUMBER(I86),I86&gt;=0),G86*I86,"")</x:f>
        <x:v>193.54</x:v>
      </x:c>
      <x:c r="P86" s="50" t="str">
        <x:f>IF(N86="REVIEW","CHECK",IF(AND(ISNUMBER(G86),ISNUMBER(H86)),IF(G86&lt;H86,"LOW","OK"),"CHECK"))</x:f>
        <x:v>CHECK</x:v>
      </x:c>
    </x:row>
    <x:row r="87" ht="22" customHeight="1">
      <x:c r="A87" s="50" t="str">
        <x:v>IN-0082</x:v>
      </x:c>
      <x:c r="B87" s="50" t="str">
        <x:v>SP-1182</x:v>
      </x:c>
      <x:c r="C87" s="50" t="str">
        <x:v>Hose Clamp - Standard</x:v>
      </x:c>
      <x:c r="D87" s="50" t="str">
        <x:v>Fasteners &amp; Hardware</x:v>
      </x:c>
      <x:c r="E87" s="50" t="str">
        <x:v>WH-B-01-02</x:v>
      </x:c>
      <x:c r="F87" s="50" t="str">
        <x:v>BOX</x:v>
      </x:c>
      <x:c r="G87" s="50" t="n">
        <x:v>18</x:v>
      </x:c>
      <x:c r="H87" s="50" t="n">
        <x:v>20</x:v>
      </x:c>
      <x:c r="I87" s="52" t="n">
        <x:v>92.3</x:v>
      </x:c>
      <x:c r="J87" s="50" t="str">
        <x:v>Redgate Supply</x:v>
      </x:c>
      <x:c r="K87" s="50" t="str">
        <x:v>2026-09-24</x:v>
      </x:c>
      <x:c r="L87" s="50" t="str"/>
      <x:c r="M87" s="50" t="n">
        <x:v>0</x:v>
      </x:c>
      <x:c r="N87" s="50" t="str">
        <x:f>IF(M87&gt;0,"REVIEW","READY")</x:f>
        <x:v>READY</x:v>
      </x:c>
      <x:c r="O87" s="52" t="n">
        <x:f>IF(AND(ISNUMBER(G87),G87&gt;=0,ISNUMBER(I87),I87&gt;=0),G87*I87,"")</x:f>
        <x:v>1661.3999999999999</x:v>
      </x:c>
      <x:c r="P87" s="50" t="str">
        <x:f>IF(N87="REVIEW","CHECK",IF(AND(ISNUMBER(G87),ISNUMBER(H87)),IF(G87&lt;H87,"LOW","OK"),"CHECK"))</x:f>
        <x:v>LOW</x:v>
      </x:c>
    </x:row>
    <x:row r="88" ht="22" customHeight="1">
      <x:c r="A88" s="50" t="str">
        <x:v>IN-0083</x:v>
      </x:c>
      <x:c r="B88" s="50" t="str">
        <x:v>SP-1183</x:v>
      </x:c>
      <x:c r="C88" s="50" t="str">
        <x:v>Split Pin - Standard</x:v>
      </x:c>
      <x:c r="D88" s="50" t="str">
        <x:v>Fasteners &amp; Hardware</x:v>
      </x:c>
      <x:c r="E88" s="50" t="str">
        <x:v>WH-D-02-03</x:v>
      </x:c>
      <x:c r="F88" s="50" t="str">
        <x:v>PAIR</x:v>
      </x:c>
      <x:c r="G88" s="50" t="n">
        <x:v>77</x:v>
      </x:c>
      <x:c r="H88" s="50" t="n">
        <x:v>12</x:v>
      </x:c>
      <x:c r="I88" s="52"/>
      <x:c r="J88" s="50" t="str">
        <x:v>North Forge Parts</x:v>
      </x:c>
      <x:c r="K88" s="50" t="str">
        <x:v>2026-09-02</x:v>
      </x:c>
      <x:c r="L88" s="50" t="str"/>
      <x:c r="M88" s="50" t="n">
        <x:v>1</x:v>
      </x:c>
      <x:c r="N88" s="50" t="str">
        <x:f>IF(M88&gt;0,"REVIEW","READY")</x:f>
        <x:v>REVIEW</x:v>
      </x:c>
      <x:c r="O88" s="52" t="str">
        <x:f>IF(AND(ISNUMBER(G88),G88&gt;=0,ISNUMBER(I88),I88&gt;=0),G88*I88,"")</x:f>
      </x:c>
      <x:c r="P88" s="50" t="str">
        <x:f>IF(N88="REVIEW","CHECK",IF(AND(ISNUMBER(G88),ISNUMBER(H88)),IF(G88&lt;H88,"LOW","OK"),"CHECK"))</x:f>
        <x:v>CHECK</x:v>
      </x:c>
    </x:row>
    <x:row r="89" ht="22" customHeight="1">
      <x:c r="A89" s="50" t="str">
        <x:v>IN-0084</x:v>
      </x:c>
      <x:c r="B89" s="50" t="str">
        <x:v>SP-1184</x:v>
      </x:c>
      <x:c r="C89" s="50" t="str">
        <x:v>Retaining Ring - Series 2</x:v>
      </x:c>
      <x:c r="D89" s="50" t="str">
        <x:v>Fasteners &amp; Hardware</x:v>
      </x:c>
      <x:c r="E89" s="50" t="str">
        <x:v>WH-B-04-05</x:v>
      </x:c>
      <x:c r="F89" s="50" t="str">
        <x:v>PACK</x:v>
      </x:c>
      <x:c r="G89" s="50" t="n">
        <x:v>53</x:v>
      </x:c>
      <x:c r="H89" s="50" t="n">
        <x:v>22</x:v>
      </x:c>
      <x:c r="I89" s="52" t="n">
        <x:v>132.86</x:v>
      </x:c>
      <x:c r="J89" s="50" t="str">
        <x:v>Redgate Supply</x:v>
      </x:c>
      <x:c r="K89" s="50" t="str">
        <x:v>2026-07-25</x:v>
      </x:c>
      <x:c r="L89" s="50" t="str"/>
      <x:c r="M89" s="50" t="n">
        <x:v>1</x:v>
      </x:c>
      <x:c r="N89" s="50" t="str">
        <x:f>IF(M89&gt;0,"REVIEW","READY")</x:f>
        <x:v>REVIEW</x:v>
      </x:c>
      <x:c r="O89" s="52" t="n">
        <x:f>IF(AND(ISNUMBER(G89),G89&gt;=0,ISNUMBER(I89),I89&gt;=0),G89*I89,"")</x:f>
        <x:v>7041.580000000001</x:v>
      </x:c>
      <x:c r="P89" s="50" t="str">
        <x:f>IF(N89="REVIEW","CHECK",IF(AND(ISNUMBER(G89),ISNUMBER(H89)),IF(G89&lt;H89,"LOW","OK"),"CHECK"))</x:f>
        <x:v>CHECK</x:v>
      </x:c>
    </x:row>
    <x:row r="90" ht="22" customHeight="1">
      <x:c r="A90" s="50" t="str">
        <x:v>IN-0085</x:v>
      </x:c>
      <x:c r="B90" s="50" t="str">
        <x:v>SP-1185</x:v>
      </x:c>
      <x:c r="C90" s="50" t="str">
        <x:v>Air Intake Filter - Type B</x:v>
      </x:c>
      <x:c r="D90" s="50" t="str">
        <x:v>Filters &amp; Fluids</x:v>
      </x:c>
      <x:c r="E90" s="50" t="str">
        <x:v>WH-C-01-05</x:v>
      </x:c>
      <x:c r="F90" s="50" t="str">
        <x:v>FT</x:v>
      </x:c>
      <x:c r="G90" s="50" t="n">
        <x:v>42</x:v>
      </x:c>
      <x:c r="H90" s="50" t="n">
        <x:v>10</x:v>
      </x:c>
      <x:c r="I90" s="52" t="n">
        <x:v>157.69</x:v>
      </x:c>
      <x:c r="J90" s="50" t="str">
        <x:v>Redgate Supply</x:v>
      </x:c>
      <x:c r="K90" s="50" t="str">
        <x:v>2026-09-04</x:v>
      </x:c>
      <x:c r="L90" s="50" t="str"/>
      <x:c r="M90" s="50" t="n">
        <x:v>0</x:v>
      </x:c>
      <x:c r="N90" s="50" t="str">
        <x:f>IF(M90&gt;0,"REVIEW","READY")</x:f>
        <x:v>READY</x:v>
      </x:c>
      <x:c r="O90" s="52" t="n">
        <x:f>IF(AND(ISNUMBER(G90),G90&gt;=0,ISNUMBER(I90),I90&gt;=0),G90*I90,"")</x:f>
        <x:v>6622.98</x:v>
      </x:c>
      <x:c r="P90" s="50" t="str">
        <x:f>IF(N90="REVIEW","CHECK",IF(AND(ISNUMBER(G90),ISNUMBER(H90)),IF(G90&lt;H90,"LOW","OK"),"CHECK"))</x:f>
        <x:v>OK</x:v>
      </x:c>
    </x:row>
    <x:row r="91" ht="22" customHeight="1">
      <x:c r="A91" s="50" t="str">
        <x:v>IN-0086</x:v>
      </x:c>
      <x:c r="B91" s="50" t="str">
        <x:v>SP-1186</x:v>
      </x:c>
      <x:c r="C91" s="50" t="str">
        <x:v>Gearbox Breather - Series 2</x:v>
      </x:c>
      <x:c r="D91" s="50" t="str">
        <x:v>Filters &amp; Fluids</x:v>
      </x:c>
      <x:c r="E91" s="50" t="str">
        <x:v>WH-B-03-04</x:v>
      </x:c>
      <x:c r="F91" s="50" t="str">
        <x:v>BOX</x:v>
      </x:c>
      <x:c r="G91" s="50" t="n">
        <x:v>75</x:v>
      </x:c>
      <x:c r="H91" s="50" t="n">
        <x:v>6</x:v>
      </x:c>
      <x:c r="I91" s="52" t="n">
        <x:v>380.31</x:v>
      </x:c>
      <x:c r="J91" s="50" t="str">
        <x:v>Redgate Supply</x:v>
      </x:c>
      <x:c r="K91" s="50" t="str">
        <x:v>2026-07-30</x:v>
      </x:c>
      <x:c r="L91" s="50" t="str"/>
      <x:c r="M91" s="50" t="n">
        <x:v>0</x:v>
      </x:c>
      <x:c r="N91" s="50" t="str">
        <x:f>IF(M91&gt;0,"REVIEW","READY")</x:f>
        <x:v>READY</x:v>
      </x:c>
      <x:c r="O91" s="52" t="n">
        <x:f>IF(AND(ISNUMBER(G91),G91&gt;=0,ISNUMBER(I91),I91&gt;=0),G91*I91,"")</x:f>
        <x:v>28523.25</x:v>
      </x:c>
      <x:c r="P91" s="50" t="str">
        <x:f>IF(N91="REVIEW","CHECK",IF(AND(ISNUMBER(G91),ISNUMBER(H91)),IF(G91&lt;H91,"LOW","OK"),"CHECK"))</x:f>
        <x:v>OK</x:v>
      </x:c>
    </x:row>
    <x:row r="92" ht="22" customHeight="1">
      <x:c r="A92" s="50" t="str">
        <x:v>IN-0087</x:v>
      </x:c>
      <x:c r="B92" s="50" t="str">
        <x:v>SP-1187</x:v>
      </x:c>
      <x:c r="C92" s="50" t="str">
        <x:v>Oil Filter Element - Standard</x:v>
      </x:c>
      <x:c r="D92" s="50" t="str">
        <x:v>Filters &amp; Fluids</x:v>
      </x:c>
      <x:c r="E92" s="50" t="str">
        <x:v>WH-C-01-03</x:v>
      </x:c>
      <x:c r="F92" s="50" t="str">
        <x:v>EA</x:v>
      </x:c>
      <x:c r="G92" s="50" t="n">
        <x:v>87</x:v>
      </x:c>
      <x:c r="H92" s="50" t="n">
        <x:v>10</x:v>
      </x:c>
      <x:c r="I92" s="52" t="n">
        <x:v>23.91</x:v>
      </x:c>
      <x:c r="J92" s="50" t="str">
        <x:v>Meridian Industrial</x:v>
      </x:c>
      <x:c r="K92" s="50" t="str">
        <x:v>2026-07-15</x:v>
      </x:c>
      <x:c r="L92" s="50" t="str">
        <x:v>SP-1187</x:v>
      </x:c>
      <x:c r="M92" s="50" t="n">
        <x:v>1</x:v>
      </x:c>
      <x:c r="N92" s="50" t="str">
        <x:f>IF(M92&gt;0,"REVIEW","READY")</x:f>
        <x:v>REVIEW</x:v>
      </x:c>
      <x:c r="O92" s="52" t="n">
        <x:f>IF(AND(ISNUMBER(G92),G92&gt;=0,ISNUMBER(I92),I92&gt;=0),G92*I92,"")</x:f>
        <x:v>2080.17</x:v>
      </x:c>
      <x:c r="P92" s="50" t="str">
        <x:f>IF(N92="REVIEW","CHECK",IF(AND(ISNUMBER(G92),ISNUMBER(H92)),IF(G92&lt;H92,"LOW","OK"),"CHECK"))</x:f>
        <x:v>CHECK</x:v>
      </x:c>
    </x:row>
    <x:row r="93" ht="22" customHeight="1">
      <x:c r="A93" s="50" t="str">
        <x:v>IN-0088</x:v>
      </x:c>
      <x:c r="B93" s="50" t="str">
        <x:v>SP-1188</x:v>
      </x:c>
      <x:c r="C93" s="50" t="str">
        <x:v>coolant strainer - series 2</x:v>
      </x:c>
      <x:c r="D93" s="50" t="str">
        <x:v>Filters &amp; Fluids</x:v>
      </x:c>
      <x:c r="E93" s="50" t="str">
        <x:v>WH-A-04-05</x:v>
      </x:c>
      <x:c r="F93" s="50" t="str">
        <x:v>BOX</x:v>
      </x:c>
      <x:c r="G93" s="50" t="n">
        <x:v>54</x:v>
      </x:c>
      <x:c r="H93" s="50" t="n">
        <x:v>6</x:v>
      </x:c>
      <x:c r="I93" s="52" t="n">
        <x:v>288.53</x:v>
      </x:c>
      <x:c r="J93" s="50" t="str">
        <x:v>Redgate Supply</x:v>
      </x:c>
      <x:c r="K93" s="50" t="str">
        <x:v>2026-09-15</x:v>
      </x:c>
      <x:c r="L93" s="50" t="str"/>
      <x:c r="M93" s="50" t="n">
        <x:v>0</x:v>
      </x:c>
      <x:c r="N93" s="50" t="str">
        <x:f>IF(M93&gt;0,"REVIEW","READY")</x:f>
        <x:v>READY</x:v>
      </x:c>
      <x:c r="O93" s="52" t="n">
        <x:f>IF(AND(ISNUMBER(G93),G93&gt;=0,ISNUMBER(I93),I93&gt;=0),G93*I93,"")</x:f>
        <x:v>15580.619999999999</x:v>
      </x:c>
      <x:c r="P93" s="50" t="str">
        <x:f>IF(N93="REVIEW","CHECK",IF(AND(ISNUMBER(G93),ISNUMBER(H93)),IF(G93&lt;H93,"LOW","OK"),"CHECK"))</x:f>
        <x:v>OK</x:v>
      </x:c>
    </x:row>
    <x:row r="94" ht="22" customHeight="1">
      <x:c r="A94" s="50" t="str">
        <x:v>IN-0089</x:v>
      </x:c>
      <x:c r="B94" s="50" t="str">
        <x:v>SP-1189</x:v>
      </x:c>
      <x:c r="C94" s="50" t="str">
        <x:v>Grease Cartridge - Type B</x:v>
      </x:c>
      <x:c r="D94" s="50" t="str">
        <x:v>Filters &amp; Fluids</x:v>
      </x:c>
      <x:c r="E94" s="50" t="str">
        <x:v>WH-B-03-04</x:v>
      </x:c>
      <x:c r="F94" s="50" t="str">
        <x:v>FT</x:v>
      </x:c>
      <x:c r="G94" s="50" t="n">
        <x:v>-3</x:v>
      </x:c>
      <x:c r="H94" s="50" t="n">
        <x:v>22</x:v>
      </x:c>
      <x:c r="I94" s="52" t="n">
        <x:v>27.16</x:v>
      </x:c>
      <x:c r="J94" s="50" t="str">
        <x:v>Canyon Equipment</x:v>
      </x:c>
      <x:c r="K94" s="50" t="str">
        <x:v>2026-07-31</x:v>
      </x:c>
      <x:c r="L94" s="50" t="str"/>
      <x:c r="M94" s="50" t="n">
        <x:v>1</x:v>
      </x:c>
      <x:c r="N94" s="50" t="str">
        <x:f>IF(M94&gt;0,"REVIEW","READY")</x:f>
        <x:v>REVIEW</x:v>
      </x:c>
      <x:c r="O94" s="52" t="str">
        <x:f>IF(AND(ISNUMBER(G94),G94&gt;=0,ISNUMBER(I94),I94&gt;=0),G94*I94,"")</x:f>
      </x:c>
      <x:c r="P94" s="50" t="str">
        <x:f>IF(N94="REVIEW","CHECK",IF(AND(ISNUMBER(G94),ISNUMBER(H94)),IF(G94&lt;H94,"LOW","OK"),"CHECK"))</x:f>
        <x:v>CHECK</x:v>
      </x:c>
    </x:row>
    <x:row r="95" ht="22" customHeight="1">
      <x:c r="A95" s="50" t="str">
        <x:v>IN-0090</x:v>
      </x:c>
      <x:c r="B95" s="50" t="str">
        <x:v>SP-1190</x:v>
      </x:c>
      <x:c r="C95" s="50" t="str">
        <x:v>Dust Collector Filter - Standard</x:v>
      </x:c>
      <x:c r="D95" s="50" t="str">
        <x:v>Filters &amp; Fluids</x:v>
      </x:c>
      <x:c r="E95" s="50" t="str">
        <x:v>WH-A-02-02</x:v>
      </x:c>
      <x:c r="F95" s="50" t="str">
        <x:v>EA</x:v>
      </x:c>
      <x:c r="G95" s="50" t="n">
        <x:v>40</x:v>
      </x:c>
      <x:c r="H95" s="50" t="n">
        <x:v>19</x:v>
      </x:c>
      <x:c r="I95" s="52" t="n">
        <x:v>316.4</x:v>
      </x:c>
      <x:c r="J95" s="50" t="str">
        <x:v>Canyon Equipment</x:v>
      </x:c>
      <x:c r="K95" s="50" t="str">
        <x:v>2026-07-23</x:v>
      </x:c>
      <x:c r="L95" s="50" t="str"/>
      <x:c r="M95" s="50" t="n">
        <x:v>0</x:v>
      </x:c>
      <x:c r="N95" s="50" t="str">
        <x:f>IF(M95&gt;0,"REVIEW","READY")</x:f>
        <x:v>READY</x:v>
      </x:c>
      <x:c r="O95" s="52" t="n">
        <x:f>IF(AND(ISNUMBER(G95),G95&gt;=0,ISNUMBER(I95),I95&gt;=0),G95*I95,"")</x:f>
        <x:v>12656</x:v>
      </x:c>
      <x:c r="P95" s="50" t="str">
        <x:f>IF(N95="REVIEW","CHECK",IF(AND(ISNUMBER(G95),ISNUMBER(H95)),IF(G95&lt;H95,"LOW","OK"),"CHECK"))</x:f>
        <x:v>OK</x:v>
      </x:c>
    </x:row>
    <x:row r="96" ht="22" customHeight="1">
      <x:c r="A96" s="50" t="str">
        <x:v>IN-0091</x:v>
      </x:c>
      <x:c r="B96" s="50" t="str">
        <x:v>SP-1191</x:v>
      </x:c>
      <x:c r="C96" s="50" t="str">
        <x:v>Water Separator - Standard</x:v>
      </x:c>
      <x:c r="D96" s="50" t="str">
        <x:v>Filters &amp; Fluids</x:v>
      </x:c>
      <x:c r="E96" s="50" t="str">
        <x:v>WH-D-02-01</x:v>
      </x:c>
      <x:c r="F96" s="50" t="str">
        <x:v>PAIR</x:v>
      </x:c>
      <x:c r="G96" s="50" t="n">
        <x:v>20</x:v>
      </x:c>
      <x:c r="H96" s="50" t="n">
        <x:v>7</x:v>
      </x:c>
      <x:c r="I96" s="52" t="n">
        <x:v>143.8</x:v>
      </x:c>
      <x:c r="J96" s="50" t="str">
        <x:v>Redgate Supply</x:v>
      </x:c>
      <x:c r="K96" s="50" t="str">
        <x:v>2026-09-28</x:v>
      </x:c>
      <x:c r="L96" s="50" t="str"/>
      <x:c r="M96" s="50" t="n">
        <x:v>0</x:v>
      </x:c>
      <x:c r="N96" s="50" t="str">
        <x:f>IF(M96&gt;0,"REVIEW","READY")</x:f>
        <x:v>READY</x:v>
      </x:c>
      <x:c r="O96" s="52" t="n">
        <x:f>IF(AND(ISNUMBER(G96),G96&gt;=0,ISNUMBER(I96),I96&gt;=0),G96*I96,"")</x:f>
        <x:v>2876</x:v>
      </x:c>
      <x:c r="P96" s="50" t="str">
        <x:f>IF(N96="REVIEW","CHECK",IF(AND(ISNUMBER(G96),ISNUMBER(H96)),IF(G96&lt;H96,"LOW","OK"),"CHECK"))</x:f>
        <x:v>OK</x:v>
      </x:c>
    </x:row>
    <x:row r="97" ht="22" customHeight="1">
      <x:c r="A97" s="50" t="str">
        <x:v>IN-0092</x:v>
      </x:c>
      <x:c r="B97" s="50" t="str">
        <x:v>SP-1192</x:v>
      </x:c>
      <x:c r="C97" s="50" t="str">
        <x:v>Pump Strainer - Type B</x:v>
      </x:c>
      <x:c r="D97" s="50" t="str">
        <x:v>Filters &amp; Fluids</x:v>
      </x:c>
      <x:c r="E97" s="50" t="str">
        <x:v>WH-D-03-05</x:v>
      </x:c>
      <x:c r="F97" s="50" t="str">
        <x:v>EA</x:v>
      </x:c>
      <x:c r="G97" s="50" t="n">
        <x:v>86</x:v>
      </x:c>
      <x:c r="H97" s="50" t="n">
        <x:v>15</x:v>
      </x:c>
      <x:c r="I97" s="52" t="n">
        <x:v>351.48</x:v>
      </x:c>
      <x:c r="J97" s="50" t="str">
        <x:v>Meridian Industrial</x:v>
      </x:c>
      <x:c r="K97" s="50" t="str">
        <x:v>2026-13-02</x:v>
      </x:c>
      <x:c r="L97" s="50" t="str"/>
      <x:c r="M97" s="50" t="n">
        <x:v>0</x:v>
      </x:c>
      <x:c r="N97" s="50" t="str">
        <x:f>IF(M97&gt;0,"REVIEW","READY")</x:f>
        <x:v>READY</x:v>
      </x:c>
      <x:c r="O97" s="52" t="n">
        <x:f>IF(AND(ISNUMBER(G97),G97&gt;=0,ISNUMBER(I97),I97&gt;=0),G97*I97,"")</x:f>
        <x:v>30227.280000000002</x:v>
      </x:c>
      <x:c r="P97" s="50" t="str">
        <x:f>IF(N97="REVIEW","CHECK",IF(AND(ISNUMBER(G97),ISNUMBER(H97)),IF(G97&lt;H97,"LOW","OK"),"CHECK"))</x:f>
        <x:v>OK</x:v>
      </x:c>
    </x:row>
    <x:row r="98" ht="22" customHeight="1">
      <x:c r="A98" s="50" t="str">
        <x:v>IN-0093</x:v>
      </x:c>
      <x:c r="B98" s="50" t="str">
        <x:v>SP-1193</x:v>
      </x:c>
      <x:c r="C98" s="50" t="str">
        <x:v>Lubricant Bottle - Standard</x:v>
      </x:c>
      <x:c r="D98" s="50" t="str">
        <x:v>Filters &amp; Fluids</x:v>
      </x:c>
      <x:c r="E98" s="50" t="str">
        <x:v>WH-A-01-03</x:v>
      </x:c>
      <x:c r="F98" s="50" t="str">
        <x:v>EA</x:v>
      </x:c>
      <x:c r="G98" s="50" t="n">
        <x:v>53</x:v>
      </x:c>
      <x:c r="H98" s="50" t="n">
        <x:v>20</x:v>
      </x:c>
      <x:c r="I98" s="52" t="n">
        <x:v>154.16</x:v>
      </x:c>
      <x:c r="J98" s="50" t="str">
        <x:v>North Forge Parts</x:v>
      </x:c>
      <x:c r="K98" s="50" t="str">
        <x:v>2026-07-26</x:v>
      </x:c>
      <x:c r="L98" s="50" t="str"/>
      <x:c r="M98" s="50" t="n">
        <x:v>0</x:v>
      </x:c>
      <x:c r="N98" s="50" t="str">
        <x:f>IF(M98&gt;0,"REVIEW","READY")</x:f>
        <x:v>READY</x:v>
      </x:c>
      <x:c r="O98" s="52" t="n">
        <x:f>IF(AND(ISNUMBER(G98),G98&gt;=0,ISNUMBER(I98),I98&gt;=0),G98*I98,"")</x:f>
        <x:v>8170.48</x:v>
      </x:c>
      <x:c r="P98" s="50" t="str">
        <x:f>IF(N98="REVIEW","CHECK",IF(AND(ISNUMBER(G98),ISNUMBER(H98)),IF(G98&lt;H98,"LOW","OK"),"CHECK"))</x:f>
        <x:v>OK</x:v>
      </x:c>
    </x:row>
    <x:row r="99" ht="22" customHeight="1">
      <x:c r="A99" s="50" t="str">
        <x:v>IN-0094</x:v>
      </x:c>
      <x:c r="B99" s="50" t="str">
        <x:v>SP-1194</x:v>
      </x:c>
      <x:c r="C99" s="50" t="str">
        <x:v>Compressor Filter - Metric</x:v>
      </x:c>
      <x:c r="D99" s="50" t="str">
        <x:v>Filters &amp; Fluids</x:v>
      </x:c>
      <x:c r="E99" s="50" t="str">
        <x:v>WH-C-04-05</x:v>
      </x:c>
      <x:c r="F99" s="50" t="str">
        <x:v>PAIR</x:v>
      </x:c>
      <x:c r="G99" s="50" t="n">
        <x:v>39</x:v>
      </x:c>
      <x:c r="H99" s="50" t="n">
        <x:v>20</x:v>
      </x:c>
      <x:c r="I99" s="52" t="n">
        <x:v>104.93</x:v>
      </x:c>
      <x:c r="J99" s="50" t="str">
        <x:v>Meridian Industrial</x:v>
      </x:c>
      <x:c r="K99" s="50" t="str">
        <x:v>2026-08-20</x:v>
      </x:c>
      <x:c r="L99" s="50" t="str"/>
      <x:c r="M99" s="50" t="n">
        <x:v>0</x:v>
      </x:c>
      <x:c r="N99" s="50" t="str">
        <x:f>IF(M99&gt;0,"REVIEW","READY")</x:f>
        <x:v>READY</x:v>
      </x:c>
      <x:c r="O99" s="52" t="n">
        <x:f>IF(AND(ISNUMBER(G99),G99&gt;=0,ISNUMBER(I99),I99&gt;=0),G99*I99,"")</x:f>
        <x:v>4092.2700000000004</x:v>
      </x:c>
      <x:c r="P99" s="50" t="str">
        <x:f>IF(N99="REVIEW","CHECK",IF(AND(ISNUMBER(G99),ISNUMBER(H99)),IF(G99&lt;H99,"LOW","OK"),"CHECK"))</x:f>
        <x:v>OK</x:v>
      </x:c>
    </x:row>
    <x:row r="100" ht="22" customHeight="1">
      <x:c r="A100" s="50" t="str">
        <x:v>IN-0095</x:v>
      </x:c>
      <x:c r="B100" s="50" t="str">
        <x:v>SP-1195</x:v>
      </x:c>
      <x:c r="C100" s="50" t="str">
        <x:v>Fuel Filter - Series 2</x:v>
      </x:c>
      <x:c r="D100" s="50" t="str">
        <x:v>Filters &amp; Fluids</x:v>
      </x:c>
      <x:c r="E100" s="50" t="str">
        <x:v>WH-A-03-01</x:v>
      </x:c>
      <x:c r="F100" s="50" t="str">
        <x:v>EA</x:v>
      </x:c>
      <x:c r="G100" s="50" t="n">
        <x:v>52</x:v>
      </x:c>
      <x:c r="H100" s="50" t="n">
        <x:v>6</x:v>
      </x:c>
      <x:c r="I100" s="52" t="n">
        <x:v>293.91</x:v>
      </x:c>
      <x:c r="J100" s="50" t="str">
        <x:v>Canyon Equipment</x:v>
      </x:c>
      <x:c r="K100" s="50" t="str">
        <x:v>2026-09-11</x:v>
      </x:c>
      <x:c r="L100" s="50" t="str"/>
      <x:c r="M100" s="50" t="n">
        <x:v>0</x:v>
      </x:c>
      <x:c r="N100" s="50" t="str">
        <x:f>IF(M100&gt;0,"REVIEW","READY")</x:f>
        <x:v>READY</x:v>
      </x:c>
      <x:c r="O100" s="52" t="n">
        <x:f>IF(AND(ISNUMBER(G100),G100&gt;=0,ISNUMBER(I100),I100&gt;=0),G100*I100,"")</x:f>
        <x:v>15283.320000000002</x:v>
      </x:c>
      <x:c r="P100" s="50" t="str">
        <x:f>IF(N100="REVIEW","CHECK",IF(AND(ISNUMBER(G100),ISNUMBER(H100)),IF(G100&lt;H100,"LOW","OK"),"CHECK"))</x:f>
        <x:v>OK</x:v>
      </x:c>
    </x:row>
    <x:row r="101" ht="22" customHeight="1">
      <x:c r="A101" s="50" t="str">
        <x:v>IN-0096</x:v>
      </x:c>
      <x:c r="B101" s="50" t="str">
        <x:v>SP-1196</x:v>
      </x:c>
      <x:c r="C101" s="50" t="str">
        <x:v>cooling fan filter - standard</x:v>
      </x:c>
      <x:c r="D101" s="50" t="str">
        <x:v>Filters &amp; Fluids</x:v>
      </x:c>
      <x:c r="E101" s="50" t="str"/>
      <x:c r="F101" s="50" t="str">
        <x:v>EA</x:v>
      </x:c>
      <x:c r="G101" s="50" t="n">
        <x:v>46</x:v>
      </x:c>
      <x:c r="H101" s="50" t="n">
        <x:v>6</x:v>
      </x:c>
      <x:c r="I101" s="52" t="n">
        <x:v>194.29</x:v>
      </x:c>
      <x:c r="J101" s="50" t="str">
        <x:v>Canyon Equipment</x:v>
      </x:c>
      <x:c r="K101" s="50" t="str">
        <x:v>2026-07-05</x:v>
      </x:c>
      <x:c r="L101" s="50" t="str"/>
      <x:c r="M101" s="50" t="n">
        <x:v>1</x:v>
      </x:c>
      <x:c r="N101" s="50" t="str">
        <x:f>IF(M101&gt;0,"REVIEW","READY")</x:f>
        <x:v>REVIEW</x:v>
      </x:c>
      <x:c r="O101" s="52" t="n">
        <x:f>IF(AND(ISNUMBER(G101),G101&gt;=0,ISNUMBER(I101),I101&gt;=0),G101*I101,"")</x:f>
        <x:v>8937.34</x:v>
      </x:c>
      <x:c r="P101" s="50" t="str">
        <x:f>IF(N101="REVIEW","CHECK",IF(AND(ISNUMBER(G101),ISNUMBER(H101)),IF(G101&lt;H101,"LOW","OK"),"CHECK"))</x:f>
        <x:v>CHECK</x:v>
      </x:c>
    </x:row>
    <x:row r="102" ht="22" customHeight="1">
      <x:c r="A102" s="50" t="str">
        <x:v>IN-0097</x:v>
      </x:c>
      <x:c r="B102" s="50" t="str">
        <x:v>SP-1197</x:v>
      </x:c>
      <x:c r="C102" s="50" t="str">
        <x:v>Lockout Tag - Standard</x:v>
      </x:c>
      <x:c r="D102" s="50" t="str">
        <x:v>Safety &amp; Maintenance</x:v>
      </x:c>
      <x:c r="E102" s="50" t="str">
        <x:v>WH-B-01-01</x:v>
      </x:c>
      <x:c r="F102" s="50" t="str">
        <x:v>EA</x:v>
      </x:c>
      <x:c r="G102" s="50" t="n">
        <x:v>87</x:v>
      </x:c>
      <x:c r="H102" s="50" t="n">
        <x:v>17</x:v>
      </x:c>
      <x:c r="I102" s="52" t="n">
        <x:v>3.77</x:v>
      </x:c>
      <x:c r="J102" s="50" t="str">
        <x:v>Redgate Supply</x:v>
      </x:c>
      <x:c r="K102" s="50" t="str">
        <x:v>2026-09-24</x:v>
      </x:c>
      <x:c r="L102" s="50" t="str"/>
      <x:c r="M102" s="50" t="n">
        <x:v>0</x:v>
      </x:c>
      <x:c r="N102" s="50" t="str">
        <x:f>IF(M102&gt;0,"REVIEW","READY")</x:f>
        <x:v>READY</x:v>
      </x:c>
      <x:c r="O102" s="52" t="n">
        <x:f>IF(AND(ISNUMBER(G102),G102&gt;=0,ISNUMBER(I102),I102&gt;=0),G102*I102,"")</x:f>
        <x:v>327.99</x:v>
      </x:c>
      <x:c r="P102" s="50" t="str">
        <x:f>IF(N102="REVIEW","CHECK",IF(AND(ISNUMBER(G102),ISNUMBER(H102)),IF(G102&lt;H102,"LOW","OK"),"CHECK"))</x:f>
        <x:v>OK</x:v>
      </x:c>
    </x:row>
    <x:row r="103" ht="22" customHeight="1">
      <x:c r="A103" s="50" t="str">
        <x:v>IN-0098</x:v>
      </x:c>
      <x:c r="B103" s="50" t="str">
        <x:v>SP-1198</x:v>
      </x:c>
      <x:c r="C103" s="50" t="str">
        <x:v>Safety Interlock - Standard</x:v>
      </x:c>
      <x:c r="D103" s="50" t="str">
        <x:v>Safety &amp; Maintenance</x:v>
      </x:c>
      <x:c r="E103" s="50" t="str">
        <x:v>WH-C-03-02</x:v>
      </x:c>
      <x:c r="F103" s="50" t="str">
        <x:v>PAIR</x:v>
      </x:c>
      <x:c r="G103" s="50" t="n">
        <x:v>79</x:v>
      </x:c>
      <x:c r="H103" s="50" t="n">
        <x:v>18</x:v>
      </x:c>
      <x:c r="I103" s="52" t="n">
        <x:v>26.2</x:v>
      </x:c>
      <x:c r="J103" s="50" t="str">
        <x:v>Canyon Equipment</x:v>
      </x:c>
      <x:c r="K103" s="50" t="str">
        <x:v>2026-09-07</x:v>
      </x:c>
      <x:c r="L103" s="50" t="str"/>
      <x:c r="M103" s="50" t="n">
        <x:v>0</x:v>
      </x:c>
      <x:c r="N103" s="50" t="str">
        <x:f>IF(M103&gt;0,"REVIEW","READY")</x:f>
        <x:v>READY</x:v>
      </x:c>
      <x:c r="O103" s="52" t="n">
        <x:f>IF(AND(ISNUMBER(G103),G103&gt;=0,ISNUMBER(I103),I103&gt;=0),G103*I103,"")</x:f>
        <x:v>2069.7999999999997</x:v>
      </x:c>
      <x:c r="P103" s="50" t="str">
        <x:f>IF(N103="REVIEW","CHECK",IF(AND(ISNUMBER(G103),ISNUMBER(H103)),IF(G103&lt;H103,"LOW","OK"),"CHECK"))</x:f>
        <x:v>OK</x:v>
      </x:c>
    </x:row>
    <x:row r="104" ht="22" customHeight="1">
      <x:c r="A104" s="50" t="str">
        <x:v>IN-0099</x:v>
      </x:c>
      <x:c r="B104" s="50" t="str">
        <x:v>SP-1199</x:v>
      </x:c>
      <x:c r="C104" s="50" t="str">
        <x:v>Inspection Mirror - Heavy Duty</x:v>
      </x:c>
      <x:c r="D104" s="50" t="str">
        <x:v>Safety &amp; Maintenance</x:v>
      </x:c>
      <x:c r="E104" s="50" t="str">
        <x:v>WH-A-03-03</x:v>
      </x:c>
      <x:c r="F104" s="50" t="str">
        <x:v>EA</x:v>
      </x:c>
      <x:c r="G104" s="50" t="n">
        <x:v>37</x:v>
      </x:c>
      <x:c r="H104" s="50" t="n">
        <x:v>16</x:v>
      </x:c>
      <x:c r="I104" s="52" t="n">
        <x:v>251.65</x:v>
      </x:c>
      <x:c r="J104" s="50" t="str">
        <x:v>Redgate Supply</x:v>
      </x:c>
      <x:c r="K104" s="50" t="str">
        <x:v>2026-08-06</x:v>
      </x:c>
      <x:c r="L104" s="50" t="str"/>
      <x:c r="M104" s="50" t="n">
        <x:v>0</x:v>
      </x:c>
      <x:c r="N104" s="50" t="str">
        <x:f>IF(M104&gt;0,"REVIEW","READY")</x:f>
        <x:v>READY</x:v>
      </x:c>
      <x:c r="O104" s="52" t="n">
        <x:f>IF(AND(ISNUMBER(G104),G104&gt;=0,ISNUMBER(I104),I104&gt;=0),G104*I104,"")</x:f>
        <x:v>9311.050000000001</x:v>
      </x:c>
      <x:c r="P104" s="50" t="str">
        <x:f>IF(N104="REVIEW","CHECK",IF(AND(ISNUMBER(G104),ISNUMBER(H104)),IF(G104&lt;H104,"LOW","OK"),"CHECK"))</x:f>
        <x:v>OK</x:v>
      </x:c>
    </x:row>
    <x:row r="105" ht="22" customHeight="1">
      <x:c r="A105" s="50" t="str">
        <x:v>IN-0100</x:v>
      </x:c>
      <x:c r="B105" s="50" t="str">
        <x:v>SP-1200</x:v>
      </x:c>
      <x:c r="C105" s="50" t="str">
        <x:v>Spill Absorbent Pad - Standard</x:v>
      </x:c>
      <x:c r="D105" s="50" t="str">
        <x:v>Safety &amp; Maintenance</x:v>
      </x:c>
      <x:c r="E105" s="50" t="str">
        <x:v>WH-D-02-02</x:v>
      </x:c>
      <x:c r="F105" s="50" t="str">
        <x:v>EA</x:v>
      </x:c>
      <x:c r="G105" s="50" t="n">
        <x:v>65</x:v>
      </x:c>
      <x:c r="H105" s="50" t="n">
        <x:v>12</x:v>
      </x:c>
      <x:c r="I105" s="52" t="n">
        <x:v>169.92</x:v>
      </x:c>
      <x:c r="J105" s="50" t="str">
        <x:v>North Forge Parts</x:v>
      </x:c>
      <x:c r="K105" s="50" t="str">
        <x:v>2026-08-29</x:v>
      </x:c>
      <x:c r="L105" s="50" t="str"/>
      <x:c r="M105" s="50" t="n">
        <x:v>0</x:v>
      </x:c>
      <x:c r="N105" s="50" t="str">
        <x:f>IF(M105&gt;0,"REVIEW","READY")</x:f>
        <x:v>READY</x:v>
      </x:c>
      <x:c r="O105" s="52" t="n">
        <x:f>IF(AND(ISNUMBER(G105),G105&gt;=0,ISNUMBER(I105),I105&gt;=0),G105*I105,"")</x:f>
        <x:v>11044.8</x:v>
      </x:c>
      <x:c r="P105" s="50" t="str">
        <x:f>IF(N105="REVIEW","CHECK",IF(AND(ISNUMBER(G105),ISNUMBER(H105)),IF(G105&lt;H105,"LOW","OK"),"CHECK"))</x:f>
        <x:v>OK</x:v>
      </x:c>
    </x:row>
    <x:row r="106" ht="22" customHeight="1">
      <x:c r="A106" s="50" t="str">
        <x:v>IN-0101</x:v>
      </x:c>
      <x:c r="B106" s="50" t="str">
        <x:v>SP-1201</x:v>
      </x:c>
      <x:c r="C106" s="50" t="str">
        <x:v>Warning Beacon - Heavy Duty</x:v>
      </x:c>
      <x:c r="D106" s="50" t="str">
        <x:v>Safety &amp; Maintenance</x:v>
      </x:c>
      <x:c r="E106" s="50" t="str">
        <x:v>WH-D-01-05</x:v>
      </x:c>
      <x:c r="F106" s="50" t="str">
        <x:v>EA</x:v>
      </x:c>
      <x:c r="G106" s="50" t="n">
        <x:v>47</x:v>
      </x:c>
      <x:c r="H106" s="50" t="n">
        <x:v>7</x:v>
      </x:c>
      <x:c r="I106" s="52" t="n">
        <x:v>259.33</x:v>
      </x:c>
      <x:c r="J106" s="50" t="str">
        <x:v>Redgate Supply</x:v>
      </x:c>
      <x:c r="K106" s="50" t="str">
        <x:v>2026-07-28</x:v>
      </x:c>
      <x:c r="L106" s="50" t="str">
        <x:v>SP-1201</x:v>
      </x:c>
      <x:c r="M106" s="50" t="n">
        <x:v>1</x:v>
      </x:c>
      <x:c r="N106" s="50" t="str">
        <x:f>IF(M106&gt;0,"REVIEW","READY")</x:f>
        <x:v>REVIEW</x:v>
      </x:c>
      <x:c r="O106" s="52" t="n">
        <x:f>IF(AND(ISNUMBER(G106),G106&gt;=0,ISNUMBER(I106),I106&gt;=0),G106*I106,"")</x:f>
        <x:v>12188.509999999998</x:v>
      </x:c>
      <x:c r="P106" s="50" t="str">
        <x:f>IF(N106="REVIEW","CHECK",IF(AND(ISNUMBER(G106),ISNUMBER(H106)),IF(G106&lt;H106,"LOW","OK"),"CHECK"))</x:f>
        <x:v>CHECK</x:v>
      </x:c>
    </x:row>
    <x:row r="107" ht="22" customHeight="1">
      <x:c r="A107" s="50" t="str">
        <x:v>IN-0102</x:v>
      </x:c>
      <x:c r="B107" s="50" t="str">
        <x:v>SP-1202</x:v>
      </x:c>
      <x:c r="C107" s="50" t="str">
        <x:v>Emergency Pull Cord - Heavy Duty</x:v>
      </x:c>
      <x:c r="D107" s="50" t="str">
        <x:v>Safety &amp; Maintenance</x:v>
      </x:c>
      <x:c r="E107" s="50" t="str">
        <x:v>WH-C-04-01</x:v>
      </x:c>
      <x:c r="F107" s="50" t="str">
        <x:v>EA</x:v>
      </x:c>
      <x:c r="G107" s="50" t="n">
        <x:v>75</x:v>
      </x:c>
      <x:c r="H107" s="50" t="n">
        <x:v>20</x:v>
      </x:c>
      <x:c r="I107" s="52" t="n">
        <x:v>124.38</x:v>
      </x:c>
      <x:c r="J107" s="50" t="str">
        <x:v>Redgate Supply</x:v>
      </x:c>
      <x:c r="K107" s="50" t="str">
        <x:v>2026-07-11</x:v>
      </x:c>
      <x:c r="L107" s="50" t="str"/>
      <x:c r="M107" s="50" t="n">
        <x:v>0</x:v>
      </x:c>
      <x:c r="N107" s="50" t="str">
        <x:f>IF(M107&gt;0,"REVIEW","READY")</x:f>
        <x:v>READY</x:v>
      </x:c>
      <x:c r="O107" s="52" t="n">
        <x:f>IF(AND(ISNUMBER(G107),G107&gt;=0,ISNUMBER(I107),I107&gt;=0),G107*I107,"")</x:f>
        <x:v>9328.5</x:v>
      </x:c>
      <x:c r="P107" s="50" t="str">
        <x:f>IF(N107="REVIEW","CHECK",IF(AND(ISNUMBER(G107),ISNUMBER(H107)),IF(G107&lt;H107,"LOW","OK"),"CHECK"))</x:f>
        <x:v>OK</x:v>
      </x:c>
    </x:row>
    <x:row r="108" ht="22" customHeight="1">
      <x:c r="A108" s="50" t="str">
        <x:v>IN-0103</x:v>
      </x:c>
      <x:c r="B108" s="50" t="str">
        <x:v>SP-1203</x:v>
      </x:c>
      <x:c r="C108" s="50" t="str">
        <x:v>Safety Guard Hinge - Standard</x:v>
      </x:c>
      <x:c r="D108" s="50" t="str">
        <x:v>Safety &amp; Maintenance</x:v>
      </x:c>
      <x:c r="E108" s="50" t="str">
        <x:v>WH-C-02-03</x:v>
      </x:c>
      <x:c r="F108" s="50" t="str">
        <x:v>BOX</x:v>
      </x:c>
      <x:c r="G108" s="50" t="n">
        <x:v>40</x:v>
      </x:c>
      <x:c r="H108" s="50" t="n">
        <x:v>19</x:v>
      </x:c>
      <x:c r="I108" s="52" t="n">
        <x:v>169.85</x:v>
      </x:c>
      <x:c r="J108" s="50" t="str">
        <x:v>Canyon Equipment</x:v>
      </x:c>
      <x:c r="K108" s="50" t="str">
        <x:v>2026-09-18</x:v>
      </x:c>
      <x:c r="L108" s="50" t="str"/>
      <x:c r="M108" s="50" t="n">
        <x:v>0</x:v>
      </x:c>
      <x:c r="N108" s="50" t="str">
        <x:f>IF(M108&gt;0,"REVIEW","READY")</x:f>
        <x:v>READY</x:v>
      </x:c>
      <x:c r="O108" s="52" t="n">
        <x:f>IF(AND(ISNUMBER(G108),G108&gt;=0,ISNUMBER(I108),I108&gt;=0),G108*I108,"")</x:f>
        <x:v>6794</x:v>
      </x:c>
      <x:c r="P108" s="50" t="str">
        <x:f>IF(N108="REVIEW","CHECK",IF(AND(ISNUMBER(G108),ISNUMBER(H108)),IF(G108&lt;H108,"LOW","OK"),"CHECK"))</x:f>
        <x:v>OK</x:v>
      </x:c>
    </x:row>
    <x:row r="109" ht="22" customHeight="1">
      <x:c r="A109" s="50" t="str">
        <x:v>IN-0104</x:v>
      </x:c>
      <x:c r="B109" s="50" t="str">
        <x:v>SP-1204</x:v>
      </x:c>
      <x:c r="C109" s="50" t="str">
        <x:v>machine light - standard</x:v>
      </x:c>
      <x:c r="D109" s="50" t="str">
        <x:v>Safety &amp; Maintenance</x:v>
      </x:c>
      <x:c r="E109" s="50" t="str">
        <x:v>WH-B-03-01</x:v>
      </x:c>
      <x:c r="F109" s="50" t="str">
        <x:v>EA</x:v>
      </x:c>
      <x:c r="G109" s="50" t="n">
        <x:v>21</x:v>
      </x:c>
      <x:c r="H109" s="50" t="n">
        <x:v>8</x:v>
      </x:c>
      <x:c r="I109" s="52"/>
      <x:c r="J109" s="50" t="str">
        <x:v>Redgate Supply</x:v>
      </x:c>
      <x:c r="K109" s="50" t="str">
        <x:v>2026-09-30</x:v>
      </x:c>
      <x:c r="L109" s="50" t="str"/>
      <x:c r="M109" s="50" t="n">
        <x:v>1</x:v>
      </x:c>
      <x:c r="N109" s="50" t="str">
        <x:f>IF(M109&gt;0,"REVIEW","READY")</x:f>
        <x:v>REVIEW</x:v>
      </x:c>
      <x:c r="O109" s="52" t="str">
        <x:f>IF(AND(ISNUMBER(G109),G109&gt;=0,ISNUMBER(I109),I109&gt;=0),G109*I109,"")</x:f>
      </x:c>
      <x:c r="P109" s="50" t="str">
        <x:f>IF(N109="REVIEW","CHECK",IF(AND(ISNUMBER(G109),ISNUMBER(H109)),IF(G109&lt;H109,"LOW","OK"),"CHECK"))</x:f>
        <x:v>CHECK</x:v>
      </x:c>
    </x:row>
    <x:row r="110" ht="22" customHeight="1">
      <x:c r="A110" s="50" t="str">
        <x:v>IN-0105</x:v>
      </x:c>
      <x:c r="B110" s="50" t="str">
        <x:v>SP-1205</x:v>
      </x:c>
      <x:c r="C110" s="50" t="str">
        <x:v>Safety Sign Holder - Standard</x:v>
      </x:c>
      <x:c r="D110" s="50" t="str">
        <x:v>Safety &amp; Maintenance</x:v>
      </x:c>
      <x:c r="E110" s="50" t="str">
        <x:v>WH-A-03-01</x:v>
      </x:c>
      <x:c r="F110" s="50" t="str">
        <x:v>FT</x:v>
      </x:c>
      <x:c r="G110" s="50" t="n">
        <x:v>33</x:v>
      </x:c>
      <x:c r="H110" s="50" t="n">
        <x:v>21</x:v>
      </x:c>
      <x:c r="I110" s="52" t="n">
        <x:v>61.34</x:v>
      </x:c>
      <x:c r="J110" s="50" t="str">
        <x:v>Meridian Industrial</x:v>
      </x:c>
      <x:c r="K110" s="50" t="str">
        <x:v>2026-07-25</x:v>
      </x:c>
      <x:c r="L110" s="50" t="str">
        <x:v>SP-1205</x:v>
      </x:c>
      <x:c r="M110" s="50" t="n">
        <x:v>1</x:v>
      </x:c>
      <x:c r="N110" s="50" t="str">
        <x:f>IF(M110&gt;0,"REVIEW","READY")</x:f>
        <x:v>REVIEW</x:v>
      </x:c>
      <x:c r="O110" s="52" t="n">
        <x:f>IF(AND(ISNUMBER(G110),G110&gt;=0,ISNUMBER(I110),I110&gt;=0),G110*I110,"")</x:f>
        <x:v>2024.22</x:v>
      </x:c>
      <x:c r="P110" s="50" t="str">
        <x:f>IF(N110="REVIEW","CHECK",IF(AND(ISNUMBER(G110),ISNUMBER(H110)),IF(G110&lt;H110,"LOW","OK"),"CHECK"))</x:f>
        <x:v>CHECK</x:v>
      </x:c>
    </x:row>
    <x:row r="111" ht="22" customHeight="1">
      <x:c r="A111" s="50" t="str">
        <x:v>IN-0106</x:v>
      </x:c>
      <x:c r="B111" s="50" t="str">
        <x:v>SP-1206</x:v>
      </x:c>
      <x:c r="C111" s="50" t="str">
        <x:v>Cable Protector - Standard</x:v>
      </x:c>
      <x:c r="D111" s="50" t="str">
        <x:v>Safety &amp; Maintenance</x:v>
      </x:c>
      <x:c r="E111" s="50" t="str">
        <x:v>WH-C-03-04</x:v>
      </x:c>
      <x:c r="F111" s="50" t="str">
        <x:v>BOX</x:v>
      </x:c>
      <x:c r="G111" s="50" t="n">
        <x:v>47</x:v>
      </x:c>
      <x:c r="H111" s="50" t="n">
        <x:v>13</x:v>
      </x:c>
      <x:c r="I111" s="52" t="n">
        <x:v>222.12</x:v>
      </x:c>
      <x:c r="J111" s="50" t="str">
        <x:v>North Forge Parts</x:v>
      </x:c>
      <x:c r="K111" s="50" t="str">
        <x:v>2026-07-05</x:v>
      </x:c>
      <x:c r="L111" s="50" t="str"/>
      <x:c r="M111" s="50" t="n">
        <x:v>0</x:v>
      </x:c>
      <x:c r="N111" s="50" t="str">
        <x:f>IF(M111&gt;0,"REVIEW","READY")</x:f>
        <x:v>READY</x:v>
      </x:c>
      <x:c r="O111" s="52" t="n">
        <x:f>IF(AND(ISNUMBER(G111),G111&gt;=0,ISNUMBER(I111),I111&gt;=0),G111*I111,"")</x:f>
        <x:v>10439.64</x:v>
      </x:c>
      <x:c r="P111" s="50" t="str">
        <x:f>IF(N111="REVIEW","CHECK",IF(AND(ISNUMBER(G111),ISNUMBER(H111)),IF(G111&lt;H111,"LOW","OK"),"CHECK"))</x:f>
        <x:v>OK</x:v>
      </x:c>
    </x:row>
    <x:row r="112" ht="22" customHeight="1">
      <x:c r="A112" s="50" t="str">
        <x:v>IN-0107</x:v>
      </x:c>
      <x:c r="B112" s="50" t="str">
        <x:v>SP-1207</x:v>
      </x:c>
      <x:c r="C112" s="50" t="str">
        <x:v>Tool Lanyard - Heavy Duty</x:v>
      </x:c>
      <x:c r="D112" s="50" t="str">
        <x:v>Safety &amp; Maintenance</x:v>
      </x:c>
      <x:c r="E112" s="50" t="str">
        <x:v>STAGING???</x:v>
      </x:c>
      <x:c r="F112" s="50" t="str">
        <x:v>PAIR</x:v>
      </x:c>
      <x:c r="G112" s="50" t="n">
        <x:v>38</x:v>
      </x:c>
      <x:c r="H112" s="50" t="n">
        <x:v>15</x:v>
      </x:c>
      <x:c r="I112" s="52" t="n">
        <x:v>385.6</x:v>
      </x:c>
      <x:c r="J112" s="50" t="str">
        <x:v>Meridian Industrial</x:v>
      </x:c>
      <x:c r="K112" s="50" t="str">
        <x:v>2026-09-27</x:v>
      </x:c>
      <x:c r="L112" s="50" t="str"/>
      <x:c r="M112" s="50" t="n">
        <x:v>1</x:v>
      </x:c>
      <x:c r="N112" s="50" t="str">
        <x:f>IF(M112&gt;0,"REVIEW","READY")</x:f>
        <x:v>REVIEW</x:v>
      </x:c>
      <x:c r="O112" s="52" t="n">
        <x:f>IF(AND(ISNUMBER(G112),G112&gt;=0,ISNUMBER(I112),I112&gt;=0),G112*I112,"")</x:f>
        <x:v>14652.800000000001</x:v>
      </x:c>
      <x:c r="P112" s="50" t="str">
        <x:f>IF(N112="REVIEW","CHECK",IF(AND(ISNUMBER(G112),ISNUMBER(H112)),IF(G112&lt;H112,"LOW","OK"),"CHECK"))</x:f>
        <x:v>CHECK</x:v>
      </x:c>
    </x:row>
    <x:row r="113" ht="22" customHeight="1">
      <x:c r="A113" s="50" t="str">
        <x:v>IN-0108</x:v>
      </x:c>
      <x:c r="B113" s="50" t="str">
        <x:v>SP-1208</x:v>
      </x:c>
      <x:c r="C113" s="50" t="str">
        <x:v>Service Access Latch - Type B</x:v>
      </x:c>
      <x:c r="D113" s="50" t="str">
        <x:v>Safety &amp; Maintenance</x:v>
      </x:c>
      <x:c r="E113" s="50" t="str">
        <x:v>WH-A-01-05</x:v>
      </x:c>
      <x:c r="F113" s="50" t="str">
        <x:v>PAIR</x:v>
      </x:c>
      <x:c r="G113" s="50" t="n">
        <x:v>34</x:v>
      </x:c>
      <x:c r="H113" s="50" t="n">
        <x:v>5</x:v>
      </x:c>
      <x:c r="I113" s="52" t="n">
        <x:v>12.65</x:v>
      </x:c>
      <x:c r="J113" s="50" t="str">
        <x:v>Redgate Supply</x:v>
      </x:c>
      <x:c r="K113" s="50" t="str">
        <x:v>2026-09-04</x:v>
      </x:c>
      <x:c r="L113" s="50" t="str"/>
      <x:c r="M113" s="50" t="n">
        <x:v>0</x:v>
      </x:c>
      <x:c r="N113" s="50" t="str">
        <x:f>IF(M113&gt;0,"REVIEW","READY")</x:f>
        <x:v>READY</x:v>
      </x:c>
      <x:c r="O113" s="52" t="n">
        <x:f>IF(AND(ISNUMBER(G113),G113&gt;=0,ISNUMBER(I113),I113&gt;=0),G113*I113,"")</x:f>
        <x:v>430.1</x:v>
      </x:c>
      <x:c r="P113" s="50" t="str">
        <x:f>IF(N113="REVIEW","CHECK",IF(AND(ISNUMBER(G113),ISNUMBER(H113)),IF(G113&lt;H113,"LOW","OK"),"CHECK"))</x:f>
        <x:v>OK</x:v>
      </x:c>
    </x:row>
    <x:row r="114" ht="22" customHeight="1">
      <x:c r="A114" s="50" t="str">
        <x:v>IN-0109</x:v>
      </x:c>
      <x:c r="B114" s="50" t="str">
        <x:v>SP-1209</x:v>
      </x:c>
      <x:c r="C114" s="50" t="str">
        <x:v>Temperature Probe - Heavy Duty</x:v>
      </x:c>
      <x:c r="D114" s="50" t="str">
        <x:v>Sensors &amp; Instrumentation</x:v>
      </x:c>
      <x:c r="E114" s="50" t="str">
        <x:v>WH-A-01-05</x:v>
      </x:c>
      <x:c r="F114" s="50" t="str">
        <x:v>BOX</x:v>
      </x:c>
      <x:c r="G114" s="50"/>
      <x:c r="H114" s="50" t="n">
        <x:v>13</x:v>
      </x:c>
      <x:c r="I114" s="52" t="n">
        <x:v>260.55</x:v>
      </x:c>
      <x:c r="J114" s="50" t="str">
        <x:v>Redgate Supply</x:v>
      </x:c>
      <x:c r="K114" s="50" t="str">
        <x:v>2026-09-03</x:v>
      </x:c>
      <x:c r="L114" s="50" t="str"/>
      <x:c r="M114" s="50" t="n">
        <x:v>1</x:v>
      </x:c>
      <x:c r="N114" s="50" t="str">
        <x:f>IF(M114&gt;0,"REVIEW","READY")</x:f>
        <x:v>REVIEW</x:v>
      </x:c>
      <x:c r="O114" s="52" t="str">
        <x:f>IF(AND(ISNUMBER(G114),G114&gt;=0,ISNUMBER(I114),I114&gt;=0),G114*I114,"")</x:f>
      </x:c>
      <x:c r="P114" s="50" t="str">
        <x:f>IF(N114="REVIEW","CHECK",IF(AND(ISNUMBER(G114),ISNUMBER(H114)),IF(G114&lt;H114,"LOW","OK"),"CHECK"))</x:f>
        <x:v>CHECK</x:v>
      </x:c>
    </x:row>
    <x:row r="115" ht="22" customHeight="1">
      <x:c r="A115" s="50" t="str">
        <x:v>IN-0110</x:v>
      </x:c>
      <x:c r="B115" s="50" t="str">
        <x:v>SP-1210</x:v>
      </x:c>
      <x:c r="C115" s="50" t="str">
        <x:v>Digital Pressure Sensor - Metric</x:v>
      </x:c>
      <x:c r="D115" s="50" t="str">
        <x:v>Sensors &amp; Instrumentation</x:v>
      </x:c>
      <x:c r="E115" s="50" t="str">
        <x:v>WH-A-03-01</x:v>
      </x:c>
      <x:c r="F115" s="50" t="str">
        <x:v>EA</x:v>
      </x:c>
      <x:c r="G115" s="50" t="n">
        <x:v>71</x:v>
      </x:c>
      <x:c r="H115" s="50" t="n">
        <x:v>12</x:v>
      </x:c>
      <x:c r="I115" s="52" t="n">
        <x:v>346.2</x:v>
      </x:c>
      <x:c r="J115" s="50" t="str">
        <x:v>North Forge Parts</x:v>
      </x:c>
      <x:c r="K115" s="50" t="str">
        <x:v>2026-08-01</x:v>
      </x:c>
      <x:c r="L115" s="50" t="str"/>
      <x:c r="M115" s="50" t="n">
        <x:v>0</x:v>
      </x:c>
      <x:c r="N115" s="50" t="str">
        <x:f>IF(M115&gt;0,"REVIEW","READY")</x:f>
        <x:v>READY</x:v>
      </x:c>
      <x:c r="O115" s="52" t="n">
        <x:f>IF(AND(ISNUMBER(G115),G115&gt;=0,ISNUMBER(I115),I115&gt;=0),G115*I115,"")</x:f>
        <x:v>24580.2</x:v>
      </x:c>
      <x:c r="P115" s="50" t="str">
        <x:f>IF(N115="REVIEW","CHECK",IF(AND(ISNUMBER(G115),ISNUMBER(H115)),IF(G115&lt;H115,"LOW","OK"),"CHECK"))</x:f>
        <x:v>OK</x:v>
      </x:c>
    </x:row>
    <x:row r="116" ht="22" customHeight="1">
      <x:c r="A116" s="50" t="str">
        <x:v>IN-0111</x:v>
      </x:c>
      <x:c r="B116" s="50" t="str">
        <x:v>MISSING</x:v>
      </x:c>
      <x:c r="C116" s="50" t="str">
        <x:v>Flow Indicator - Heavy Duty</x:v>
      </x:c>
      <x:c r="D116" s="50" t="str">
        <x:v>Sensors &amp; Instrumentation</x:v>
      </x:c>
      <x:c r="E116" s="50" t="str">
        <x:v>WH-A-02-03</x:v>
      </x:c>
      <x:c r="F116" s="50" t="str">
        <x:v>EA</x:v>
      </x:c>
      <x:c r="G116" s="50" t="n">
        <x:v>35</x:v>
      </x:c>
      <x:c r="H116" s="50" t="n">
        <x:v>18</x:v>
      </x:c>
      <x:c r="I116" s="52" t="n">
        <x:v>267.6</x:v>
      </x:c>
      <x:c r="J116" s="50" t="str">
        <x:v>Canyon Equipment</x:v>
      </x:c>
      <x:c r="K116" s="50" t="str">
        <x:v>2026-09-08</x:v>
      </x:c>
      <x:c r="L116" s="50" t="str"/>
      <x:c r="M116" s="50" t="n">
        <x:v>1</x:v>
      </x:c>
      <x:c r="N116" s="50" t="str">
        <x:f>IF(M116&gt;0,"REVIEW","READY")</x:f>
        <x:v>REVIEW</x:v>
      </x:c>
      <x:c r="O116" s="52" t="n">
        <x:f>IF(AND(ISNUMBER(G116),G116&gt;=0,ISNUMBER(I116),I116&gt;=0),G116*I116,"")</x:f>
        <x:v>9366</x:v>
      </x:c>
      <x:c r="P116" s="50" t="str">
        <x:f>IF(N116="REVIEW","CHECK",IF(AND(ISNUMBER(G116),ISNUMBER(H116)),IF(G116&lt;H116,"LOW","OK"),"CHECK"))</x:f>
        <x:v>CHECK</x:v>
      </x:c>
    </x:row>
    <x:row r="117" ht="22" customHeight="1">
      <x:c r="A117" s="50" t="str">
        <x:v>IN-0112</x:v>
      </x:c>
      <x:c r="B117" s="50" t="str">
        <x:v>SP-1212</x:v>
      </x:c>
      <x:c r="C117" s="50" t="str">
        <x:v>current transformer - type b</x:v>
      </x:c>
      <x:c r="D117" s="50" t="str">
        <x:v>Sensors &amp; Instrumentation</x:v>
      </x:c>
      <x:c r="E117" s="50" t="str">
        <x:v>WH-B-04-03</x:v>
      </x:c>
      <x:c r="F117" s="50" t="str">
        <x:v>PAIR</x:v>
      </x:c>
      <x:c r="G117" s="50" t="n">
        <x:v>88</x:v>
      </x:c>
      <x:c r="H117" s="50" t="n">
        <x:v>17</x:v>
      </x:c>
      <x:c r="I117" s="52" t="n">
        <x:v>146.78</x:v>
      </x:c>
      <x:c r="J117" s="50" t="str">
        <x:v>Redgate Supply</x:v>
      </x:c>
      <x:c r="K117" s="50" t="str">
        <x:v>2026-07-30</x:v>
      </x:c>
      <x:c r="L117" s="50" t="str">
        <x:v>SP-1212</x:v>
      </x:c>
      <x:c r="M117" s="50" t="n">
        <x:v>1</x:v>
      </x:c>
      <x:c r="N117" s="50" t="str">
        <x:f>IF(M117&gt;0,"REVIEW","READY")</x:f>
        <x:v>REVIEW</x:v>
      </x:c>
      <x:c r="O117" s="52" t="n">
        <x:f>IF(AND(ISNUMBER(G117),G117&gt;=0,ISNUMBER(I117),I117&gt;=0),G117*I117,"")</x:f>
        <x:v>12916.64</x:v>
      </x:c>
      <x:c r="P117" s="50" t="str">
        <x:f>IF(N117="REVIEW","CHECK",IF(AND(ISNUMBER(G117),ISNUMBER(H117)),IF(G117&lt;H117,"LOW","OK"),"CHECK"))</x:f>
        <x:v>CHECK</x:v>
      </x:c>
    </x:row>
    <x:row r="118" ht="22" customHeight="1">
      <x:c r="A118" s="50" t="str">
        <x:v>IN-0113</x:v>
      </x:c>
      <x:c r="B118" s="50" t="str">
        <x:v>SP-1213</x:v>
      </x:c>
      <x:c r="C118" s="50" t="str">
        <x:v>Vibration Sensor - Type B</x:v>
      </x:c>
      <x:c r="D118" s="50" t="str">
        <x:v>Sensors &amp; Instrumentation</x:v>
      </x:c>
      <x:c r="E118" s="50" t="str">
        <x:v>WH-A-04-04</x:v>
      </x:c>
      <x:c r="F118" s="50" t="str">
        <x:v>EA</x:v>
      </x:c>
      <x:c r="G118" s="50" t="n">
        <x:v>63</x:v>
      </x:c>
      <x:c r="H118" s="50" t="n">
        <x:v>19</x:v>
      </x:c>
      <x:c r="I118" s="52" t="n">
        <x:v>126.79</x:v>
      </x:c>
      <x:c r="J118" s="50" t="str">
        <x:v>Meridian Industrial</x:v>
      </x:c>
      <x:c r="K118" s="50" t="str">
        <x:v>2026-07-13</x:v>
      </x:c>
      <x:c r="L118" s="50" t="str"/>
      <x:c r="M118" s="50" t="n">
        <x:v>0</x:v>
      </x:c>
      <x:c r="N118" s="50" t="str">
        <x:f>IF(M118&gt;0,"REVIEW","READY")</x:f>
        <x:v>READY</x:v>
      </x:c>
      <x:c r="O118" s="52" t="n">
        <x:f>IF(AND(ISNUMBER(G118),G118&gt;=0,ISNUMBER(I118),I118&gt;=0),G118*I118,"")</x:f>
        <x:v>7987.77</x:v>
      </x:c>
      <x:c r="P118" s="50" t="str">
        <x:f>IF(N118="REVIEW","CHECK",IF(AND(ISNUMBER(G118),ISNUMBER(H118)),IF(G118&lt;H118,"LOW","OK"),"CHECK"))</x:f>
        <x:v>OK</x:v>
      </x:c>
    </x:row>
    <x:row r="119" ht="22" customHeight="1">
      <x:c r="A119" s="50" t="str">
        <x:v>IN-0114</x:v>
      </x:c>
      <x:c r="B119" s="50" t="str">
        <x:v>SP-1214</x:v>
      </x:c>
      <x:c r="C119" s="50" t="str">
        <x:v>Optical Encoder - Heavy Duty</x:v>
      </x:c>
      <x:c r="D119" s="50" t="str">
        <x:v>Sensors &amp; Instrumentation</x:v>
      </x:c>
      <x:c r="E119" s="50" t="str">
        <x:v>WH-D-04-04</x:v>
      </x:c>
      <x:c r="F119" s="50" t="str">
        <x:v>EA</x:v>
      </x:c>
      <x:c r="G119" s="50" t="n">
        <x:v>51</x:v>
      </x:c>
      <x:c r="H119" s="50" t="n">
        <x:v>7</x:v>
      </x:c>
      <x:c r="I119" s="52" t="n">
        <x:v>219.48</x:v>
      </x:c>
      <x:c r="J119" s="50" t="str">
        <x:v>Canyon Equipment</x:v>
      </x:c>
      <x:c r="K119" s="50" t="str">
        <x:v>2026-07-24</x:v>
      </x:c>
      <x:c r="L119" s="50" t="str"/>
      <x:c r="M119" s="50" t="n">
        <x:v>0</x:v>
      </x:c>
      <x:c r="N119" s="50" t="str">
        <x:f>IF(M119&gt;0,"REVIEW","READY")</x:f>
        <x:v>READY</x:v>
      </x:c>
      <x:c r="O119" s="52" t="n">
        <x:f>IF(AND(ISNUMBER(G119),G119&gt;=0,ISNUMBER(I119),I119&gt;=0),G119*I119,"")</x:f>
        <x:v>11193.48</x:v>
      </x:c>
      <x:c r="P119" s="50" t="str">
        <x:f>IF(N119="REVIEW","CHECK",IF(AND(ISNUMBER(G119),ISNUMBER(H119)),IF(G119&lt;H119,"LOW","OK"),"CHECK"))</x:f>
        <x:v>OK</x:v>
      </x:c>
    </x:row>
    <x:row r="120" ht="22" customHeight="1">
      <x:c r="A120" s="50" t="str">
        <x:v>IN-0115</x:v>
      </x:c>
      <x:c r="B120" s="50" t="str">
        <x:v>SP-1215</x:v>
      </x:c>
      <x:c r="C120" s="50" t="str">
        <x:v>Level Switch - Heavy Duty</x:v>
      </x:c>
      <x:c r="D120" s="50" t="str">
        <x:v>Sensors &amp; Instrumentation</x:v>
      </x:c>
      <x:c r="E120" s="50" t="str">
        <x:v>WH-D-01-05</x:v>
      </x:c>
      <x:c r="F120" s="50" t="str">
        <x:v>BOX</x:v>
      </x:c>
      <x:c r="G120" s="50" t="n">
        <x:v>16</x:v>
      </x:c>
      <x:c r="H120" s="50" t="n">
        <x:v>10</x:v>
      </x:c>
      <x:c r="I120" s="52" t="n">
        <x:v>24.58</x:v>
      </x:c>
      <x:c r="J120" s="50" t="str">
        <x:v>North Forge Parts</x:v>
      </x:c>
      <x:c r="K120" s="50" t="str">
        <x:v>2026-07-14</x:v>
      </x:c>
      <x:c r="L120" s="50" t="str"/>
      <x:c r="M120" s="50" t="n">
        <x:v>0</x:v>
      </x:c>
      <x:c r="N120" s="50" t="str">
        <x:f>IF(M120&gt;0,"REVIEW","READY")</x:f>
        <x:v>READY</x:v>
      </x:c>
      <x:c r="O120" s="52" t="n">
        <x:f>IF(AND(ISNUMBER(G120),G120&gt;=0,ISNUMBER(I120),I120&gt;=0),G120*I120,"")</x:f>
        <x:v>393.28</x:v>
      </x:c>
      <x:c r="P120" s="50" t="str">
        <x:f>IF(N120="REVIEW","CHECK",IF(AND(ISNUMBER(G120),ISNUMBER(H120)),IF(G120&lt;H120,"LOW","OK"),"CHECK"))</x:f>
        <x:v>OK</x:v>
      </x:c>
    </x:row>
    <x:row r="121" ht="22" customHeight="1">
      <x:c r="A121" s="50" t="str">
        <x:v>IN-0116</x:v>
      </x:c>
      <x:c r="B121" s="50" t="str">
        <x:v>SP-1216</x:v>
      </x:c>
      <x:c r="C121" s="50" t="str">
        <x:v>Tachometer Pickup - Heavy Duty</x:v>
      </x:c>
      <x:c r="D121" s="50" t="str">
        <x:v>Sensors &amp; Instrumentation</x:v>
      </x:c>
      <x:c r="E121" s="50" t="str">
        <x:v>WH-C-03-01</x:v>
      </x:c>
      <x:c r="F121" s="50" t="str">
        <x:v>EA</x:v>
      </x:c>
      <x:c r="G121" s="50" t="n">
        <x:v>16</x:v>
      </x:c>
      <x:c r="H121" s="50" t="n">
        <x:v>8</x:v>
      </x:c>
      <x:c r="I121" s="52" t="n">
        <x:v>377.05</x:v>
      </x:c>
      <x:c r="J121" s="50" t="str">
        <x:v>Meridian Industrial</x:v>
      </x:c>
      <x:c r="K121" s="50" t="str">
        <x:v>2026-09-21</x:v>
      </x:c>
      <x:c r="L121" s="50" t="str"/>
      <x:c r="M121" s="50" t="n">
        <x:v>0</x:v>
      </x:c>
      <x:c r="N121" s="50" t="str">
        <x:f>IF(M121&gt;0,"REVIEW","READY")</x:f>
        <x:v>READY</x:v>
      </x:c>
      <x:c r="O121" s="52" t="n">
        <x:f>IF(AND(ISNUMBER(G121),G121&gt;=0,ISNUMBER(I121),I121&gt;=0),G121*I121,"")</x:f>
        <x:v>6032.8</x:v>
      </x:c>
      <x:c r="P121" s="50" t="str">
        <x:f>IF(N121="REVIEW","CHECK",IF(AND(ISNUMBER(G121),ISNUMBER(H121)),IF(G121&lt;H121,"LOW","OK"),"CHECK"))</x:f>
        <x:v>OK</x:v>
      </x:c>
    </x:row>
    <x:row r="122" ht="22" customHeight="1">
      <x:c r="A122" s="50" t="str">
        <x:v>IN-0117</x:v>
      </x:c>
      <x:c r="B122" s="50" t="str">
        <x:v>SP-??</x:v>
      </x:c>
      <x:c r="C122" s="50" t="str">
        <x:v>RTD Extension Cable - Metric</x:v>
      </x:c>
      <x:c r="D122" s="50" t="str">
        <x:v>Sensors &amp; Instrumentation</x:v>
      </x:c>
      <x:c r="E122" s="50" t="str">
        <x:v>WH-C-01-03</x:v>
      </x:c>
      <x:c r="F122" s="50" t="str">
        <x:v>EA</x:v>
      </x:c>
      <x:c r="G122" s="50" t="n">
        <x:v>55</x:v>
      </x:c>
      <x:c r="H122" s="50" t="n">
        <x:v>12</x:v>
      </x:c>
      <x:c r="I122" s="52" t="n">
        <x:v>345.21</x:v>
      </x:c>
      <x:c r="J122" s="50" t="str">
        <x:v>Canyon Equipment</x:v>
      </x:c>
      <x:c r="K122" s="50" t="str">
        <x:v>2026-08-22</x:v>
      </x:c>
      <x:c r="L122" s="50" t="str"/>
      <x:c r="M122" s="50" t="n">
        <x:v>1</x:v>
      </x:c>
      <x:c r="N122" s="50" t="str">
        <x:f>IF(M122&gt;0,"REVIEW","READY")</x:f>
        <x:v>REVIEW</x:v>
      </x:c>
      <x:c r="O122" s="52" t="n">
        <x:f>IF(AND(ISNUMBER(G122),G122&gt;=0,ISNUMBER(I122),I122&gt;=0),G122*I122,"")</x:f>
        <x:v>18986.55</x:v>
      </x:c>
      <x:c r="P122" s="50" t="str">
        <x:f>IF(N122="REVIEW","CHECK",IF(AND(ISNUMBER(G122),ISNUMBER(H122)),IF(G122&lt;H122,"LOW","OK"),"CHECK"))</x:f>
        <x:v>CHECK</x:v>
      </x:c>
    </x:row>
    <x:row r="123" ht="22" customHeight="1">
      <x:c r="A123" s="50" t="str">
        <x:v>IN-0118</x:v>
      </x:c>
      <x:c r="B123" s="50" t="str">
        <x:v>SP-1218</x:v>
      </x:c>
      <x:c r="C123" s="50" t="str">
        <x:v>Sensor Mount - Heavy Duty</x:v>
      </x:c>
      <x:c r="D123" s="50" t="str">
        <x:v>Sensors &amp; Instrumentation</x:v>
      </x:c>
      <x:c r="E123" s="50" t="str">
        <x:v>WH-D-03-01</x:v>
      </x:c>
      <x:c r="F123" s="50" t="str">
        <x:v>EA</x:v>
      </x:c>
      <x:c r="G123" s="50"/>
      <x:c r="H123" s="50" t="n">
        <x:v>6</x:v>
      </x:c>
      <x:c r="I123" s="52" t="n">
        <x:v>389.68</x:v>
      </x:c>
      <x:c r="J123" s="50" t="str">
        <x:v>North Forge Parts</x:v>
      </x:c>
      <x:c r="K123" s="50" t="str">
        <x:v>2026-09-30</x:v>
      </x:c>
      <x:c r="L123" s="50" t="str"/>
      <x:c r="M123" s="50" t="n">
        <x:v>1</x:v>
      </x:c>
      <x:c r="N123" s="50" t="str">
        <x:f>IF(M123&gt;0,"REVIEW","READY")</x:f>
        <x:v>REVIEW</x:v>
      </x:c>
      <x:c r="O123" s="52" t="str">
        <x:f>IF(AND(ISNUMBER(G123),G123&gt;=0,ISNUMBER(I123),I123&gt;=0),G123*I123,"")</x:f>
      </x:c>
      <x:c r="P123" s="50" t="str">
        <x:f>IF(N123="REVIEW","CHECK",IF(AND(ISNUMBER(G123),ISNUMBER(H123)),IF(G123&lt;H123,"LOW","OK"),"CHECK"))</x:f>
        <x:v>CHECK</x:v>
      </x:c>
    </x:row>
    <x:row r="124" ht="22" customHeight="1">
      <x:c r="A124" s="50" t="str">
        <x:v>IN-0119</x:v>
      </x:c>
      <x:c r="B124" s="50" t="str">
        <x:v>SP-1219</x:v>
      </x:c>
      <x:c r="C124" s="50" t="str">
        <x:v>Encoder Cable - Metric</x:v>
      </x:c>
      <x:c r="D124" s="50" t="str">
        <x:v>Sensors &amp; Instrumentation</x:v>
      </x:c>
      <x:c r="E124" s="50" t="str">
        <x:v>WH-D-02-05</x:v>
      </x:c>
      <x:c r="F124" s="50" t="str">
        <x:v>EA</x:v>
      </x:c>
      <x:c r="G124" s="50" t="n">
        <x:v>1</x:v>
      </x:c>
      <x:c r="H124" s="50" t="n">
        <x:v>4</x:v>
      </x:c>
      <x:c r="I124" s="52" t="n">
        <x:v>328.62</x:v>
      </x:c>
      <x:c r="J124" s="50" t="str">
        <x:v>Meridian Industrial</x:v>
      </x:c>
      <x:c r="K124" s="50" t="str">
        <x:v>2026-08-10</x:v>
      </x:c>
      <x:c r="L124" s="50" t="str"/>
      <x:c r="M124" s="50" t="n">
        <x:v>0</x:v>
      </x:c>
      <x:c r="N124" s="50" t="str">
        <x:f>IF(M124&gt;0,"REVIEW","READY")</x:f>
        <x:v>READY</x:v>
      </x:c>
      <x:c r="O124" s="52" t="n">
        <x:f>IF(AND(ISNUMBER(G124),G124&gt;=0,ISNUMBER(I124),I124&gt;=0),G124*I124,"")</x:f>
        <x:v>328.62</x:v>
      </x:c>
      <x:c r="P124" s="50" t="str">
        <x:f>IF(N124="REVIEW","CHECK",IF(AND(ISNUMBER(G124),ISNUMBER(H124)),IF(G124&lt;H124,"LOW","OK"),"CHECK"))</x:f>
        <x:v>LOW</x:v>
      </x:c>
    </x:row>
    <x:row r="125" ht="22" customHeight="1">
      <x:c r="A125" s="50" t="str">
        <x:v>IN-0120</x:v>
      </x:c>
      <x:c r="B125" s="50" t="str">
        <x:v>SP-1220</x:v>
      </x:c>
      <x:c r="C125" s="50" t="str">
        <x:v>thermocouple connector - standard</x:v>
      </x:c>
      <x:c r="D125" s="50" t="str">
        <x:v>Sensors &amp; Instrumentation</x:v>
      </x:c>
      <x:c r="E125" s="50" t="str">
        <x:v>WH-C-03-01</x:v>
      </x:c>
      <x:c r="F125" s="50" t="str">
        <x:v>FT</x:v>
      </x:c>
      <x:c r="G125" s="50" t="n">
        <x:v>1</x:v>
      </x:c>
      <x:c r="H125" s="50" t="n">
        <x:v>22</x:v>
      </x:c>
      <x:c r="I125" s="52" t="n">
        <x:v>72.78</x:v>
      </x:c>
      <x:c r="J125" s="50" t="str">
        <x:v>Canyon Equipment</x:v>
      </x:c>
      <x:c r="K125" s="50" t="str">
        <x:v>2026-09-10</x:v>
      </x:c>
      <x:c r="L125" s="50" t="str"/>
      <x:c r="M125" s="50" t="n">
        <x:v>0</x:v>
      </x:c>
      <x:c r="N125" s="50" t="str">
        <x:f>IF(M125&gt;0,"REVIEW","READY")</x:f>
        <x:v>READY</x:v>
      </x:c>
      <x:c r="O125" s="52" t="n">
        <x:f>IF(AND(ISNUMBER(G125),G125&gt;=0,ISNUMBER(I125),I125&gt;=0),G125*I125,"")</x:f>
        <x:v>72.78</x:v>
      </x:c>
      <x:c r="P125" s="50" t="str">
        <x:f>IF(N125="REVIEW","CHECK",IF(AND(ISNUMBER(G125),ISNUMBER(H125)),IF(G125&lt;H125,"LOW","OK"),"CHECK"))</x:f>
        <x:v>LOW</x:v>
      </x:c>
    </x:row>
    <x:row r="126" ht="22" customHeight="1">
      <x:c r="A126" s="50" t="str">
        <x:v>IN-0121</x:v>
      </x:c>
      <x:c r="B126" s="50" t="str">
        <x:v>SP-1105</x:v>
      </x:c>
      <x:c r="C126" s="50" t="str">
        <x:v>Drive Pulley - Heavy Duty</x:v>
      </x:c>
      <x:c r="D126" s="50" t="str">
        <x:v>Bearings &amp; Power Transmission</x:v>
      </x:c>
      <x:c r="E126" s="50" t="str">
        <x:v>WH-D-04-03</x:v>
      </x:c>
      <x:c r="F126" s="50" t="str">
        <x:v>BOX</x:v>
      </x:c>
      <x:c r="G126" s="50" t="n">
        <x:v>77</x:v>
      </x:c>
      <x:c r="H126" s="50" t="n">
        <x:v>7</x:v>
      </x:c>
      <x:c r="I126" s="52" t="n">
        <x:v>362.55</x:v>
      </x:c>
      <x:c r="J126" s="50" t="str">
        <x:v>Canyon Equipment</x:v>
      </x:c>
      <x:c r="K126" s="50" t="str">
        <x:v>2026-09-16</x:v>
      </x:c>
      <x:c r="L126" s="50" t="str">
        <x:v>SP-1105</x:v>
      </x:c>
      <x:c r="M126" s="50" t="n">
        <x:v>1</x:v>
      </x:c>
      <x:c r="N126" s="50" t="str">
        <x:f>IF(M126&gt;0,"REVIEW","READY")</x:f>
        <x:v>REVIEW</x:v>
      </x:c>
      <x:c r="O126" s="52" t="n">
        <x:f>IF(AND(ISNUMBER(G126),G126&gt;=0,ISNUMBER(I126),I126&gt;=0),G126*I126,"")</x:f>
        <x:v>27916.350000000002</x:v>
      </x:c>
      <x:c r="P126" s="50" t="str">
        <x:f>IF(N126="REVIEW","CHECK",IF(AND(ISNUMBER(G126),ISNUMBER(H126)),IF(G126&lt;H126,"LOW","OK"),"CHECK"))</x:f>
        <x:v>CHECK</x:v>
      </x:c>
    </x:row>
    <x:row r="127" ht="22" customHeight="1">
      <x:c r="A127" s="50" t="str">
        <x:v>IN-0122</x:v>
      </x:c>
      <x:c r="B127" s="50" t="str">
        <x:v>SP-1122</x:v>
      </x:c>
      <x:c r="C127" s="50" t="str">
        <x:v>Belt Cleaner Arm - Metric</x:v>
      </x:c>
      <x:c r="D127" s="50" t="str">
        <x:v>Conveyor Systems</x:v>
      </x:c>
      <x:c r="E127" s="50" t="str">
        <x:v>WH-B-04-01</x:v>
      </x:c>
      <x:c r="F127" s="50" t="str">
        <x:v>EA</x:v>
      </x:c>
      <x:c r="G127" s="50" t="n">
        <x:v>57</x:v>
      </x:c>
      <x:c r="H127" s="50" t="n">
        <x:v>14</x:v>
      </x:c>
      <x:c r="I127" s="52" t="n">
        <x:v>293.14</x:v>
      </x:c>
      <x:c r="J127" s="50" t="str">
        <x:v>Redgate Supply</x:v>
      </x:c>
      <x:c r="K127" s="50" t="str">
        <x:v>2026-07-26</x:v>
      </x:c>
      <x:c r="L127" s="50" t="str">
        <x:v>SP-1122</x:v>
      </x:c>
      <x:c r="M127" s="50" t="n">
        <x:v>1</x:v>
      </x:c>
      <x:c r="N127" s="50" t="str">
        <x:f>IF(M127&gt;0,"REVIEW","READY")</x:f>
        <x:v>REVIEW</x:v>
      </x:c>
      <x:c r="O127" s="52" t="n">
        <x:f>IF(AND(ISNUMBER(G127),G127&gt;=0,ISNUMBER(I127),I127&gt;=0),G127*I127,"")</x:f>
        <x:v>16708.98</x:v>
      </x:c>
      <x:c r="P127" s="50" t="str">
        <x:f>IF(N127="REVIEW","CHECK",IF(AND(ISNUMBER(G127),ISNUMBER(H127)),IF(G127&lt;H127,"LOW","OK"),"CHECK"))</x:f>
        <x:v>CHECK</x:v>
      </x:c>
    </x:row>
    <x:row r="128" ht="22" customHeight="1">
      <x:c r="A128" s="50" t="str">
        <x:v>IN-0123</x:v>
      </x:c>
      <x:c r="B128" s="50" t="str">
        <x:v>SP-1140</x:v>
      </x:c>
      <x:c r="C128" s="50" t="str">
        <x:v>limit switch - type b</x:v>
      </x:c>
      <x:c r="D128" s="50" t="str">
        <x:v>Electrical Controls</x:v>
      </x:c>
      <x:c r="E128" s="50" t="str">
        <x:v>WH-D-03-03</x:v>
      </x:c>
      <x:c r="F128" s="50" t="str">
        <x:v>BOX</x:v>
      </x:c>
      <x:c r="G128" s="50" t="n">
        <x:v>23</x:v>
      </x:c>
      <x:c r="H128" s="50" t="n">
        <x:v>18</x:v>
      </x:c>
      <x:c r="I128" s="52" t="n">
        <x:v>75.53</x:v>
      </x:c>
      <x:c r="J128" s="50" t="str">
        <x:v>North Forge Parts</x:v>
      </x:c>
      <x:c r="K128" s="50" t="str">
        <x:v>2026-07-17</x:v>
      </x:c>
      <x:c r="L128" s="50" t="str">
        <x:v>SP-1140</x:v>
      </x:c>
      <x:c r="M128" s="50" t="n">
        <x:v>1</x:v>
      </x:c>
      <x:c r="N128" s="50" t="str">
        <x:f>IF(M128&gt;0,"REVIEW","READY")</x:f>
        <x:v>REVIEW</x:v>
      </x:c>
      <x:c r="O128" s="52" t="n">
        <x:f>IF(AND(ISNUMBER(G128),G128&gt;=0,ISNUMBER(I128),I128&gt;=0),G128*I128,"")</x:f>
        <x:v>1737.19</x:v>
      </x:c>
      <x:c r="P128" s="50" t="str">
        <x:f>IF(N128="REVIEW","CHECK",IF(AND(ISNUMBER(G128),ISNUMBER(H128)),IF(G128&lt;H128,"LOW","OK"),"CHECK"))</x:f>
        <x:v>CHECK</x:v>
      </x:c>
    </x:row>
    <x:row r="129" ht="22" customHeight="1">
      <x:c r="A129" s="50" t="str">
        <x:v>IN-0124</x:v>
      </x:c>
      <x:c r="B129" s="50" t="str">
        <x:v>SP-1164</x:v>
      </x:c>
      <x:c r="C129" s="50" t="str">
        <x:v>push-to-connect fitting - type b</x:v>
      </x:c>
      <x:c r="D129" s="50" t="str">
        <x:v>Pneumatics</x:v>
      </x:c>
      <x:c r="E129" s="50" t="str">
        <x:v>WH-A-02-01</x:v>
      </x:c>
      <x:c r="F129" s="50" t="str">
        <x:v>BOX</x:v>
      </x:c>
      <x:c r="G129" s="50" t="n">
        <x:v>58</x:v>
      </x:c>
      <x:c r="H129" s="50" t="n">
        <x:v>17</x:v>
      </x:c>
      <x:c r="I129" s="52" t="n">
        <x:v>109.22</x:v>
      </x:c>
      <x:c r="J129" s="50" t="str">
        <x:v>North Forge Parts</x:v>
      </x:c>
      <x:c r="K129" s="50" t="str">
        <x:v>2026-09-18</x:v>
      </x:c>
      <x:c r="L129" s="50" t="str">
        <x:v>SP-1164</x:v>
      </x:c>
      <x:c r="M129" s="50" t="n">
        <x:v>1</x:v>
      </x:c>
      <x:c r="N129" s="50" t="str">
        <x:f>IF(M129&gt;0,"REVIEW","READY")</x:f>
        <x:v>REVIEW</x:v>
      </x:c>
      <x:c r="O129" s="52" t="n">
        <x:f>IF(AND(ISNUMBER(G129),G129&gt;=0,ISNUMBER(I129),I129&gt;=0),G129*I129,"")</x:f>
        <x:v>6334.76</x:v>
      </x:c>
      <x:c r="P129" s="50" t="str">
        <x:f>IF(N129="REVIEW","CHECK",IF(AND(ISNUMBER(G129),ISNUMBER(H129)),IF(G129&lt;H129,"LOW","OK"),"CHECK"))</x:f>
        <x:v>CHECK</x:v>
      </x:c>
    </x:row>
    <x:row r="130" ht="22" customHeight="1">
      <x:c r="A130" s="50" t="str">
        <x:v>IN-0125</x:v>
      </x:c>
      <x:c r="B130" s="50" t="str">
        <x:v>SP-1187</x:v>
      </x:c>
      <x:c r="C130" s="50" t="str">
        <x:v>Oil Filter Element - Standard</x:v>
      </x:c>
      <x:c r="D130" s="50" t="str">
        <x:v>Filters &amp; Fluids</x:v>
      </x:c>
      <x:c r="E130" s="50" t="str">
        <x:v>WH-C-01-03</x:v>
      </x:c>
      <x:c r="F130" s="50" t="str">
        <x:v>EA</x:v>
      </x:c>
      <x:c r="G130" s="50" t="n">
        <x:v>87</x:v>
      </x:c>
      <x:c r="H130" s="50" t="n">
        <x:v>10</x:v>
      </x:c>
      <x:c r="I130" s="52" t="n">
        <x:v>23.91</x:v>
      </x:c>
      <x:c r="J130" s="50" t="str">
        <x:v>Meridian Industrial</x:v>
      </x:c>
      <x:c r="K130" s="50" t="str">
        <x:v>2026-07-15</x:v>
      </x:c>
      <x:c r="L130" s="50" t="str">
        <x:v>SP-1187</x:v>
      </x:c>
      <x:c r="M130" s="50" t="n">
        <x:v>1</x:v>
      </x:c>
      <x:c r="N130" s="50" t="str">
        <x:f>IF(M130&gt;0,"REVIEW","READY")</x:f>
        <x:v>REVIEW</x:v>
      </x:c>
      <x:c r="O130" s="52" t="n">
        <x:f>IF(AND(ISNUMBER(G130),G130&gt;=0,ISNUMBER(I130),I130&gt;=0),G130*I130,"")</x:f>
        <x:v>2080.17</x:v>
      </x:c>
      <x:c r="P130" s="50" t="str">
        <x:f>IF(N130="REVIEW","CHECK",IF(AND(ISNUMBER(G130),ISNUMBER(H130)),IF(G130&lt;H130,"LOW","OK"),"CHECK"))</x:f>
        <x:v>CHECK</x:v>
      </x:c>
    </x:row>
    <x:row r="131" ht="22" customHeight="1">
      <x:c r="A131" s="50" t="str">
        <x:v>IN-0126</x:v>
      </x:c>
      <x:c r="B131" s="50" t="str">
        <x:v>SP-1212</x:v>
      </x:c>
      <x:c r="C131" s="50" t="str">
        <x:v>current transformer - type b</x:v>
      </x:c>
      <x:c r="D131" s="50" t="str">
        <x:v>Sensors &amp; Instrumentation</x:v>
      </x:c>
      <x:c r="E131" s="50" t="str">
        <x:v>WH-B-04-03</x:v>
      </x:c>
      <x:c r="F131" s="50" t="str">
        <x:v>PAIR</x:v>
      </x:c>
      <x:c r="G131" s="50" t="n">
        <x:v>88</x:v>
      </x:c>
      <x:c r="H131" s="50" t="n">
        <x:v>17</x:v>
      </x:c>
      <x:c r="I131" s="52" t="n">
        <x:v>146.78</x:v>
      </x:c>
      <x:c r="J131" s="50" t="str">
        <x:v>Redgate Supply</x:v>
      </x:c>
      <x:c r="K131" s="50" t="str">
        <x:v>2026-07-30</x:v>
      </x:c>
      <x:c r="L131" s="50" t="str">
        <x:v>SP-1212</x:v>
      </x:c>
      <x:c r="M131" s="50" t="n">
        <x:v>1</x:v>
      </x:c>
      <x:c r="N131" s="50" t="str">
        <x:f>IF(M131&gt;0,"REVIEW","READY")</x:f>
        <x:v>REVIEW</x:v>
      </x:c>
      <x:c r="O131" s="52" t="n">
        <x:f>IF(AND(ISNUMBER(G131),G131&gt;=0,ISNUMBER(I131),I131&gt;=0),G131*I131,"")</x:f>
        <x:v>12916.64</x:v>
      </x:c>
      <x:c r="P131" s="50" t="str">
        <x:f>IF(N131="REVIEW","CHECK",IF(AND(ISNUMBER(G131),ISNUMBER(H131)),IF(G131&lt;H131,"LOW","OK"),"CHECK"))</x:f>
        <x:v>CHECK</x:v>
      </x:c>
    </x:row>
    <x:row r="132" ht="22" customHeight="1">
      <x:c r="A132" s="50" t="str">
        <x:v>IN-0127</x:v>
      </x:c>
      <x:c r="B132" s="50" t="str">
        <x:v>SP-1138</x:v>
      </x:c>
      <x:c r="C132" s="50" t="str">
        <x:v>Contactor Coil - Metric</x:v>
      </x:c>
      <x:c r="D132" s="50" t="str">
        <x:v>Electrical Controls</x:v>
      </x:c>
      <x:c r="E132" s="50" t="str">
        <x:v>WH-D-01-01</x:v>
      </x:c>
      <x:c r="F132" s="50" t="str">
        <x:v>EA</x:v>
      </x:c>
      <x:c r="G132" s="50" t="n">
        <x:v>65</x:v>
      </x:c>
      <x:c r="H132" s="50" t="n">
        <x:v>15</x:v>
      </x:c>
      <x:c r="I132" s="52" t="n">
        <x:v>288.19</x:v>
      </x:c>
      <x:c r="J132" s="50" t="str">
        <x:v>Meridian Industrial</x:v>
      </x:c>
      <x:c r="K132" s="50" t="str">
        <x:v>2026-07-19</x:v>
      </x:c>
      <x:c r="L132" s="50" t="str">
        <x:v>SP-1138</x:v>
      </x:c>
      <x:c r="M132" s="50" t="n">
        <x:v>1</x:v>
      </x:c>
      <x:c r="N132" s="50" t="str">
        <x:f>IF(M132&gt;0,"REVIEW","READY")</x:f>
        <x:v>REVIEW</x:v>
      </x:c>
      <x:c r="O132" s="52" t="n">
        <x:f>IF(AND(ISNUMBER(G132),G132&gt;=0,ISNUMBER(I132),I132&gt;=0),G132*I132,"")</x:f>
        <x:v>18732.35</x:v>
      </x:c>
      <x:c r="P132" s="50" t="str">
        <x:f>IF(N132="REVIEW","CHECK",IF(AND(ISNUMBER(G132),ISNUMBER(H132)),IF(G132&lt;H132,"LOW","OK"),"CHECK"))</x:f>
        <x:v>CHECK</x:v>
      </x:c>
    </x:row>
    <x:row r="133" ht="22" customHeight="1">
      <x:c r="A133" s="50" t="str">
        <x:v>IN-0128</x:v>
      </x:c>
      <x:c r="B133" s="50" t="str">
        <x:v>SP-1201</x:v>
      </x:c>
      <x:c r="C133" s="50" t="str">
        <x:v>Warning Beacon - Heavy Duty</x:v>
      </x:c>
      <x:c r="D133" s="50" t="str">
        <x:v>Safety &amp; Maintenance</x:v>
      </x:c>
      <x:c r="E133" s="50" t="str">
        <x:v>WH-D-01-05</x:v>
      </x:c>
      <x:c r="F133" s="50" t="str">
        <x:v>EA</x:v>
      </x:c>
      <x:c r="G133" s="50" t="n">
        <x:v>47</x:v>
      </x:c>
      <x:c r="H133" s="50" t="n">
        <x:v>7</x:v>
      </x:c>
      <x:c r="I133" s="52" t="n">
        <x:v>259.33</x:v>
      </x:c>
      <x:c r="J133" s="50" t="str">
        <x:v>Redgate Supply</x:v>
      </x:c>
      <x:c r="K133" s="50" t="str">
        <x:v>2026-07-28</x:v>
      </x:c>
      <x:c r="L133" s="50" t="str">
        <x:v>SP-1201</x:v>
      </x:c>
      <x:c r="M133" s="50" t="n">
        <x:v>1</x:v>
      </x:c>
      <x:c r="N133" s="50" t="str">
        <x:f>IF(M133&gt;0,"REVIEW","READY")</x:f>
        <x:v>REVIEW</x:v>
      </x:c>
      <x:c r="O133" s="52" t="n">
        <x:f>IF(AND(ISNUMBER(G133),G133&gt;=0,ISNUMBER(I133),I133&gt;=0),G133*I133,"")</x:f>
        <x:v>12188.509999999998</x:v>
      </x:c>
      <x:c r="P133" s="50" t="str">
        <x:f>IF(N133="REVIEW","CHECK",IF(AND(ISNUMBER(G133),ISNUMBER(H133)),IF(G133&lt;H133,"LOW","OK"),"CHECK"))</x:f>
        <x:v>CHECK</x:v>
      </x:c>
    </x:row>
    <x:row r="134" ht="22" customHeight="1">
      <x:c r="A134" s="50" t="str">
        <x:v>IN-0129</x:v>
      </x:c>
      <x:c r="B134" s="50" t="str">
        <x:v>SP-1116</x:v>
      </x:c>
      <x:c r="C134" s="50" t="str">
        <x:v>conveyor belt clip - standard</x:v>
      </x:c>
      <x:c r="D134" s="50" t="str">
        <x:v>Conveyor Systems</x:v>
      </x:c>
      <x:c r="E134" s="50" t="str">
        <x:v>WH-C-02-04</x:v>
      </x:c>
      <x:c r="F134" s="50" t="str">
        <x:v>EA</x:v>
      </x:c>
      <x:c r="G134" s="50" t="n">
        <x:v>10</x:v>
      </x:c>
      <x:c r="H134" s="50" t="n">
        <x:v>9</x:v>
      </x:c>
      <x:c r="I134" s="52" t="n">
        <x:v>262.92</x:v>
      </x:c>
      <x:c r="J134" s="50" t="str">
        <x:v>Redgate Supply</x:v>
      </x:c>
      <x:c r="K134" s="50" t="str">
        <x:v>2026-07-29</x:v>
      </x:c>
      <x:c r="L134" s="50" t="str">
        <x:v>SP-1116</x:v>
      </x:c>
      <x:c r="M134" s="50" t="n">
        <x:v>1</x:v>
      </x:c>
      <x:c r="N134" s="50" t="str">
        <x:f>IF(M134&gt;0,"REVIEW","READY")</x:f>
        <x:v>REVIEW</x:v>
      </x:c>
      <x:c r="O134" s="52" t="n">
        <x:f>IF(AND(ISNUMBER(G134),G134&gt;=0,ISNUMBER(I134),I134&gt;=0),G134*I134,"")</x:f>
        <x:v>2629.2000000000003</x:v>
      </x:c>
      <x:c r="P134" s="50" t="str">
        <x:f>IF(N134="REVIEW","CHECK",IF(AND(ISNUMBER(G134),ISNUMBER(H134)),IF(G134&lt;H134,"LOW","OK"),"CHECK"))</x:f>
        <x:v>CHECK</x:v>
      </x:c>
    </x:row>
    <x:row r="135" ht="22" customHeight="1">
      <x:c r="A135" s="50" t="str">
        <x:v>IN-0130</x:v>
      </x:c>
      <x:c r="B135" s="50" t="str">
        <x:v>SP-1152</x:v>
      </x:c>
      <x:c r="C135" s="50" t="str">
        <x:v>Gear Reducer Seal - Type B</x:v>
      </x:c>
      <x:c r="D135" s="50" t="str">
        <x:v>Motors &amp; Drives</x:v>
      </x:c>
      <x:c r="E135" s="50" t="str">
        <x:v>WH-C-02-04</x:v>
      </x:c>
      <x:c r="F135" s="50" t="str">
        <x:v>EA</x:v>
      </x:c>
      <x:c r="G135" s="50" t="n">
        <x:v>51</x:v>
      </x:c>
      <x:c r="H135" s="50" t="n">
        <x:v>12</x:v>
      </x:c>
      <x:c r="I135" s="52" t="n">
        <x:v>186.06</x:v>
      </x:c>
      <x:c r="J135" s="50" t="str">
        <x:v>Canyon Equipment</x:v>
      </x:c>
      <x:c r="K135" s="50" t="str">
        <x:v>2026-07-15</x:v>
      </x:c>
      <x:c r="L135" s="50" t="str">
        <x:v>SP-1152</x:v>
      </x:c>
      <x:c r="M135" s="50" t="n">
        <x:v>1</x:v>
      </x:c>
      <x:c r="N135" s="50" t="str">
        <x:f>IF(M135&gt;0,"REVIEW","READY")</x:f>
        <x:v>REVIEW</x:v>
      </x:c>
      <x:c r="O135" s="52" t="n">
        <x:f>IF(AND(ISNUMBER(G135),G135&gt;=0,ISNUMBER(I135),I135&gt;=0),G135*I135,"")</x:f>
        <x:v>9489.06</x:v>
      </x:c>
      <x:c r="P135" s="50" t="str">
        <x:f>IF(N135="REVIEW","CHECK",IF(AND(ISNUMBER(G135),ISNUMBER(H135)),IF(G135&lt;H135,"LOW","OK"),"CHECK"))</x:f>
        <x:v>CHECK</x:v>
      </x:c>
    </x:row>
    <x:row r="136" ht="22" customHeight="1">
      <x:c r="A136" s="50" t="str">
        <x:v>IN-0131</x:v>
      </x:c>
      <x:c r="B136" s="50" t="str">
        <x:v>SP-1161</x:v>
      </x:c>
      <x:c r="C136" s="50" t="str">
        <x:v>Air Filter Regulator - Metric</x:v>
      </x:c>
      <x:c r="D136" s="50" t="str">
        <x:v>Pneumatics</x:v>
      </x:c>
      <x:c r="E136" s="50" t="str">
        <x:v>WH-C-02-04</x:v>
      </x:c>
      <x:c r="F136" s="50" t="str">
        <x:v>EA</x:v>
      </x:c>
      <x:c r="G136" s="50" t="n">
        <x:v>64</x:v>
      </x:c>
      <x:c r="H136" s="50" t="n">
        <x:v>17</x:v>
      </x:c>
      <x:c r="I136" s="52" t="n">
        <x:v>242.17</x:v>
      </x:c>
      <x:c r="J136" s="50" t="str">
        <x:v>Redgate Supply</x:v>
      </x:c>
      <x:c r="K136" s="50" t="str">
        <x:v>2026-08-03</x:v>
      </x:c>
      <x:c r="L136" s="50" t="str">
        <x:v>SP-1161</x:v>
      </x:c>
      <x:c r="M136" s="50" t="n">
        <x:v>1</x:v>
      </x:c>
      <x:c r="N136" s="50" t="str">
        <x:f>IF(M136&gt;0,"REVIEW","READY")</x:f>
        <x:v>REVIEW</x:v>
      </x:c>
      <x:c r="O136" s="52" t="n">
        <x:f>IF(AND(ISNUMBER(G136),G136&gt;=0,ISNUMBER(I136),I136&gt;=0),G136*I136,"")</x:f>
        <x:v>15498.88</x:v>
      </x:c>
      <x:c r="P136" s="50" t="str">
        <x:f>IF(N136="REVIEW","CHECK",IF(AND(ISNUMBER(G136),ISNUMBER(H136)),IF(G136&lt;H136,"LOW","OK"),"CHECK"))</x:f>
        <x:v>CHECK</x:v>
      </x:c>
    </x:row>
    <x:row r="137" ht="22" customHeight="1">
      <x:c r="A137" s="50" t="str">
        <x:v>IN-0132</x:v>
      </x:c>
      <x:c r="B137" s="50" t="str">
        <x:v>SP-1175</x:v>
      </x:c>
      <x:c r="C137" s="50" t="str">
        <x:v>Socket Head Cap Screw - Heavy Duty</x:v>
      </x:c>
      <x:c r="D137" s="50" t="str">
        <x:v>Fasteners &amp; Hardware</x:v>
      </x:c>
      <x:c r="E137" s="50" t="str">
        <x:v>WH-C-02-04</x:v>
      </x:c>
      <x:c r="F137" s="50" t="str">
        <x:v>BOX</x:v>
      </x:c>
      <x:c r="G137" s="50" t="n">
        <x:v>54</x:v>
      </x:c>
      <x:c r="H137" s="50" t="n">
        <x:v>20</x:v>
      </x:c>
      <x:c r="I137" s="52" t="n">
        <x:v>371.85</x:v>
      </x:c>
      <x:c r="J137" s="50" t="str">
        <x:v>Meridian Industrial</x:v>
      </x:c>
      <x:c r="K137" s="50" t="str">
        <x:v>2026-07-09</x:v>
      </x:c>
      <x:c r="L137" s="50" t="str">
        <x:v>SP-1175</x:v>
      </x:c>
      <x:c r="M137" s="50" t="n">
        <x:v>1</x:v>
      </x:c>
      <x:c r="N137" s="50" t="str">
        <x:f>IF(M137&gt;0,"REVIEW","READY")</x:f>
        <x:v>REVIEW</x:v>
      </x:c>
      <x:c r="O137" s="52" t="n">
        <x:f>IF(AND(ISNUMBER(G137),G137&gt;=0,ISNUMBER(I137),I137&gt;=0),G137*I137,"")</x:f>
        <x:v>20079.9</x:v>
      </x:c>
      <x:c r="P137" s="50" t="str">
        <x:f>IF(N137="REVIEW","CHECK",IF(AND(ISNUMBER(G137),ISNUMBER(H137)),IF(G137&lt;H137,"LOW","OK"),"CHECK"))</x:f>
        <x:v>CHECK</x:v>
      </x:c>
    </x:row>
    <x:row r="138" ht="22" customHeight="1">
      <x:c r="A138" s="50" t="str">
        <x:v>IN-0133</x:v>
      </x:c>
      <x:c r="B138" s="50" t="str">
        <x:v>SP-1205</x:v>
      </x:c>
      <x:c r="C138" s="50" t="str">
        <x:v>Safety Sign Holder - Standard</x:v>
      </x:c>
      <x:c r="D138" s="50" t="str">
        <x:v>Safety &amp; Maintenance</x:v>
      </x:c>
      <x:c r="E138" s="50" t="str">
        <x:v>WH-C-02-04</x:v>
      </x:c>
      <x:c r="F138" s="50" t="str">
        <x:v>FT</x:v>
      </x:c>
      <x:c r="G138" s="50" t="n">
        <x:v>42</x:v>
      </x:c>
      <x:c r="H138" s="50" t="n">
        <x:v>21</x:v>
      </x:c>
      <x:c r="I138" s="52" t="n">
        <x:v>61.34</x:v>
      </x:c>
      <x:c r="J138" s="50" t="str">
        <x:v>Meridian Industrial</x:v>
      </x:c>
      <x:c r="K138" s="50" t="str">
        <x:v>2026-07-25</x:v>
      </x:c>
      <x:c r="L138" s="50" t="str">
        <x:v>SP-1205</x:v>
      </x:c>
      <x:c r="M138" s="50" t="n">
        <x:v>1</x:v>
      </x:c>
      <x:c r="N138" s="50" t="str">
        <x:f>IF(M138&gt;0,"REVIEW","READY")</x:f>
        <x:v>REVIEW</x:v>
      </x:c>
      <x:c r="O138" s="52" t="n">
        <x:f>IF(AND(ISNUMBER(G138),G138&gt;=0,ISNUMBER(I138),I138&gt;=0),G138*I138,"")</x:f>
        <x:v>2576.28</x:v>
      </x:c>
      <x:c r="P138" s="50" t="str">
        <x:f>IF(N138="REVIEW","CHECK",IF(AND(ISNUMBER(G138),ISNUMBER(H138)),IF(G138&lt;H138,"LOW","OK"),"CHECK"))</x:f>
        <x:v>CHECK</x:v>
      </x:c>
    </x:row>
  </x:sheetData>
  <x:mergeCells>
    <x:mergeCell ref="A1:P2"/>
    <x:mergeCell ref="A3:P3"/>
  </x:mergeCells>
  <x:conditionalFormatting sqref="N6:N138">
    <x:cfRule type="expression" dxfId="0" priority="1">
      <x:formula>N6="REVIEW"</x:formula>
    </x:cfRule>
    <x:cfRule type="expression" dxfId="1" priority="2">
      <x:formula>N6="READY"</x:formula>
    </x:cfRule>
  </x:conditionalFormatting>
  <x:conditionalFormatting sqref="P6:P138">
    <x:cfRule type="expression" dxfId="2" priority="3">
      <x:formula>P6="LOW"</x:formula>
    </x:cfRule>
  </x:conditionalFormatting>
  <x:conditionalFormatting sqref="M6:M138">
    <x:cfRule type="cellIs" dxfId="3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f20de08ead40c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8" hidden="0" customWidth="1"/>
    <x:col min="4" max="4" width="20" hidden="0" customWidth="1"/>
    <x:col min="5" max="5" width="23" hidden="0" customWidth="1"/>
    <x:col min="6" max="6" width="26" hidden="0" customWidth="1"/>
    <x:col min="7" max="7" width="15" hidden="0" customWidth="1"/>
    <x:col min="8" max="8" width="55" hidden="0" customWidth="1"/>
    <x:col min="9" max="9" width="58" hidden="0" customWidth="1"/>
    <x:col min="10" max="10" width="18" hidden="0" customWidth="1"/>
  </x:cols>
  <x:sheetData>
    <x:row r="1" ht="25" customHeight="1">
      <x:c r="A1" s="4" t="str">
        <x:v>REVIEW QUEUE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3" customHeight="1">
      <x:c r="A3" s="10" t="str">
        <x:v>Unresolved issues remain visible  •  records marked REVIEW should not be silently treated as approved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5" customHeight="1">
      <x:c r="A5" s="44" t="str">
        <x:v>Issue ID</x:v>
      </x:c>
      <x:c r="B5" s="44" t="str">
        <x:v>Source ID</x:v>
      </x:c>
      <x:c r="C5" s="44" t="str">
        <x:v>SKU</x:v>
      </x:c>
      <x:c r="D5" s="44" t="str">
        <x:v>Field</x:v>
      </x:c>
      <x:c r="E5" s="44" t="str">
        <x:v>Observed</x:v>
      </x:c>
      <x:c r="F5" s="44" t="str">
        <x:v>Issue Code</x:v>
      </x:c>
      <x:c r="G5" s="44" t="str">
        <x:v>Severity</x:v>
      </x:c>
      <x:c r="H5" s="44" t="str">
        <x:v>Why It Matters</x:v>
      </x:c>
      <x:c r="I5" s="44" t="str">
        <x:v>Required Next Step</x:v>
      </x:c>
      <x:c r="J5" s="44" t="str">
        <x:v>Disposition</x:v>
      </x:c>
    </x:row>
    <x:row r="6" ht="22" customHeight="1">
      <x:c r="A6" s="50" t="str">
        <x:v>EX-0001</x:v>
      </x:c>
      <x:c r="B6" s="50" t="str">
        <x:v>IN-0007</x:v>
      </x:c>
      <x:c r="C6" s="50" t="str">
        <x:v>SP-1107</x:v>
      </x:c>
      <x:c r="D6" s="50" t="str">
        <x:v>On Hand</x:v>
      </x:c>
      <x:c r="E6" s="50" t="str"/>
      <x:c r="F6" s="50" t="str">
        <x:v>QTY_MISSING_OR_TEXT</x:v>
      </x:c>
      <x:c r="G6" s="50" t="str">
        <x:v>High</x:v>
      </x:c>
      <x:c r="H6" s="50" t="str">
        <x:v>Available quantity cannot be verified.</x:v>
      </x:c>
      <x:c r="I6" s="50" t="str">
        <x:v>Recount stock and approve a numeric quantity.</x:v>
      </x:c>
      <x:c r="J6" s="50" t="str">
        <x:v>OPEN</x:v>
      </x:c>
    </x:row>
    <x:row r="7" ht="22" customHeight="1">
      <x:c r="A7" s="50" t="str">
        <x:v>EX-0002</x:v>
      </x:c>
      <x:c r="B7" s="50" t="str">
        <x:v>IN-0012</x:v>
      </x:c>
      <x:c r="C7" s="50" t="str">
        <x:v>SP-??</x:v>
      </x:c>
      <x:c r="D7" s="50" t="str">
        <x:v>Part ID</x:v>
      </x:c>
      <x:c r="E7" s="50" t="str">
        <x:v>SP-??</x:v>
      </x:c>
      <x:c r="F7" s="50" t="str">
        <x:v>SKU_UNRECOGNIZED</x:v>
      </x:c>
      <x:c r="G7" s="50" t="str">
        <x:v>High</x:v>
      </x:c>
      <x:c r="H7" s="50" t="str">
        <x:v>Unrecognized part identifier; cannot safely map to catalog.</x:v>
      </x:c>
      <x:c r="I7" s="50" t="str">
        <x:v>Confirm correct master SKU.</x:v>
      </x:c>
      <x:c r="J7" s="50" t="str">
        <x:v>OPEN</x:v>
      </x:c>
    </x:row>
    <x:row r="8" ht="22" customHeight="1">
      <x:c r="A8" s="50" t="str">
        <x:v>EX-0003</x:v>
      </x:c>
      <x:c r="B8" s="50" t="str">
        <x:v>IN-0015</x:v>
      </x:c>
      <x:c r="C8" s="50" t="str">
        <x:v>SP-1115</x:v>
      </x:c>
      <x:c r="D8" s="50" t="str">
        <x:v>On Hand</x:v>
      </x:c>
      <x:c r="E8" s="50" t="str">
        <x:v>TBD</x:v>
      </x:c>
      <x:c r="F8" s="50" t="str">
        <x:v>QTY_MISSING_OR_TEXT</x:v>
      </x:c>
      <x:c r="G8" s="50" t="str">
        <x:v>High</x:v>
      </x:c>
      <x:c r="H8" s="50" t="str">
        <x:v>Available quantity cannot be verified.</x:v>
      </x:c>
      <x:c r="I8" s="50" t="str">
        <x:v>Recount stock and approve a numeric quantity.</x:v>
      </x:c>
      <x:c r="J8" s="50" t="str">
        <x:v>OPEN</x:v>
      </x:c>
    </x:row>
    <x:row r="9" ht="22" customHeight="1">
      <x:c r="A9" s="50" t="str">
        <x:v>EX-0004</x:v>
      </x:c>
      <x:c r="B9" s="50" t="str">
        <x:v>IN-0018</x:v>
      </x:c>
      <x:c r="C9" s="50" t="str">
        <x:v>SP-1118</x:v>
      </x:c>
      <x:c r="D9" s="50" t="str">
        <x:v>Storage Bin</x:v>
      </x:c>
      <x:c r="E9" s="50" t="str"/>
      <x:c r="F9" s="50" t="str">
        <x:v>LOCATION_MISSING</x:v>
      </x:c>
      <x:c r="G9" s="50" t="str">
        <x:v>Medium</x:v>
      </x:c>
      <x:c r="H9" s="50" t="str">
        <x:v>Part has no locatable storage bin.</x:v>
      </x:c>
      <x:c r="I9" s="50" t="str">
        <x:v>Confirm storage location.</x:v>
      </x:c>
      <x:c r="J9" s="50" t="str">
        <x:v>OPEN</x:v>
      </x:c>
    </x:row>
    <x:row r="10" ht="22" customHeight="1">
      <x:c r="A10" s="50" t="str">
        <x:v>EX-0005</x:v>
      </x:c>
      <x:c r="B10" s="50" t="str">
        <x:v>IN-0021</x:v>
      </x:c>
      <x:c r="C10" s="50" t="str">
        <x:v>SP-1121</x:v>
      </x:c>
      <x:c r="D10" s="50" t="str">
        <x:v>Reorder Point</x:v>
      </x:c>
      <x:c r="E10" s="50" t="str">
        <x:v>-1</x:v>
      </x:c>
      <x:c r="F10" s="50" t="str">
        <x:v>REORDER_INVALID</x:v>
      </x:c>
      <x:c r="G10" s="50" t="str">
        <x:v>Medium</x:v>
      </x:c>
      <x:c r="H10" s="50" t="str">
        <x:v>Reorder point is missing or negative.</x:v>
      </x:c>
      <x:c r="I10" s="50" t="str">
        <x:v>Confirm minimum stocking threshold.</x:v>
      </x:c>
      <x:c r="J10" s="50" t="str">
        <x:v>OPEN</x:v>
      </x:c>
    </x:row>
    <x:row r="11" ht="22" customHeight="1">
      <x:c r="A11" s="50" t="str">
        <x:v>EX-0006</x:v>
      </x:c>
      <x:c r="B11" s="50" t="str">
        <x:v>IN-0026</x:v>
      </x:c>
      <x:c r="C11" s="50" t="str">
        <x:v>SP-1126</x:v>
      </x:c>
      <x:c r="D11" s="50" t="str">
        <x:v>Unit Cost USD</x:v>
      </x:c>
      <x:c r="E11" s="50" t="str"/>
      <x:c r="F11" s="50" t="str">
        <x:v>COST_MISSING_OR_TEXT</x:v>
      </x:c>
      <x:c r="G11" s="50" t="str">
        <x:v>Medium</x:v>
      </x:c>
      <x:c r="H11" s="50" t="str">
        <x:v>Unit cost is unavailable; cannot estimate total value.</x:v>
      </x:c>
      <x:c r="I11" s="50" t="str">
        <x:v>Confirm latest unit cost in source system.</x:v>
      </x:c>
      <x:c r="J11" s="50" t="str">
        <x:v>OPEN</x:v>
      </x:c>
    </x:row>
    <x:row r="12" ht="22" customHeight="1">
      <x:c r="A12" s="50" t="str">
        <x:v>EX-0007</x:v>
      </x:c>
      <x:c r="B12" s="50" t="str">
        <x:v>IN-0027</x:v>
      </x:c>
      <x:c r="C12" s="50" t="str">
        <x:v>SP-1127</x:v>
      </x:c>
      <x:c r="D12" s="50" t="str">
        <x:v>On Hand</x:v>
      </x:c>
      <x:c r="E12" s="50" t="str">
        <x:v>-3</x:v>
      </x:c>
      <x:c r="F12" s="50" t="str">
        <x:v>NEGATIVE_QUANTITY</x:v>
      </x:c>
      <x:c r="G12" s="50" t="str">
        <x:v>High</x:v>
      </x:c>
      <x:c r="H12" s="50" t="str">
        <x:v>On-hand quantity is negative.</x:v>
      </x:c>
      <x:c r="I12" s="50" t="str">
        <x:v>Investigate transaction history; do not overwrite.</x:v>
      </x:c>
      <x:c r="J12" s="50" t="str">
        <x:v>OPEN</x:v>
      </x:c>
    </x:row>
    <x:row r="13" ht="22" customHeight="1">
      <x:c r="A13" s="50" t="str">
        <x:v>EX-0008</x:v>
      </x:c>
      <x:c r="B13" s="50" t="str">
        <x:v>IN-0033</x:v>
      </x:c>
      <x:c r="C13" s="50" t="str">
        <x:v>SP-1133</x:v>
      </x:c>
      <x:c r="D13" s="50" t="str">
        <x:v>Category</x:v>
      </x:c>
      <x:c r="E13" s="50" t="str">
        <x:v>UNKNOWN CATEGORY</x:v>
      </x:c>
      <x:c r="F13" s="50" t="str">
        <x:v>CATEGORY_UNKNOWN</x:v>
      </x:c>
      <x:c r="G13" s="50" t="str">
        <x:v>Medium</x:v>
      </x:c>
      <x:c r="H13" s="50" t="str">
        <x:v>Category is outside the controlled list.</x:v>
      </x:c>
      <x:c r="I13" s="50" t="str">
        <x:v>Ask client to choose an approved category.</x:v>
      </x:c>
      <x:c r="J13" s="50" t="str">
        <x:v>OPEN</x:v>
      </x:c>
    </x:row>
    <x:row r="14" ht="22" customHeight="1">
      <x:c r="A14" s="50" t="str">
        <x:v>EX-0009</x:v>
      </x:c>
      <x:c r="B14" s="50" t="str">
        <x:v>IN-0035</x:v>
      </x:c>
      <x:c r="C14" s="50" t="str">
        <x:v>SP-1135</x:v>
      </x:c>
      <x:c r="D14" s="50" t="str">
        <x:v>Storage Bin</x:v>
      </x:c>
      <x:c r="E14" s="50" t="str">
        <x:v>STAGING???</x:v>
      </x:c>
      <x:c r="F14" s="50" t="str">
        <x:v>LOCATION_INVALID</x:v>
      </x:c>
      <x:c r="G14" s="50" t="str">
        <x:v>Medium</x:v>
      </x:c>
      <x:c r="H14" s="50" t="str">
        <x:v>Bin does not fit the demonstrated warehouse layout.</x:v>
      </x:c>
      <x:c r="I14" s="50" t="str">
        <x:v>Confirm and correct actual bin.</x:v>
      </x:c>
      <x:c r="J14" s="50" t="str">
        <x:v>OPEN</x:v>
      </x:c>
    </x:row>
    <x:row r="15" ht="22" customHeight="1">
      <x:c r="A15" s="50" t="str">
        <x:v>EX-0010</x:v>
      </x:c>
      <x:c r="B15" s="50" t="str">
        <x:v>IN-0041</x:v>
      </x:c>
      <x:c r="C15" s="50" t="str">
        <x:v>SP-1141</x:v>
      </x:c>
      <x:c r="D15" s="50" t="str">
        <x:v>On Hand</x:v>
      </x:c>
      <x:c r="E15" s="50" t="str"/>
      <x:c r="F15" s="50" t="str">
        <x:v>QTY_MISSING_OR_TEXT</x:v>
      </x:c>
      <x:c r="G15" s="50" t="str">
        <x:v>High</x:v>
      </x:c>
      <x:c r="H15" s="50" t="str">
        <x:v>Available quantity cannot be verified.</x:v>
      </x:c>
      <x:c r="I15" s="50" t="str">
        <x:v>Recount stock and approve a numeric quantity.</x:v>
      </x:c>
      <x:c r="J15" s="50" t="str">
        <x:v>OPEN</x:v>
      </x:c>
    </x:row>
    <x:row r="16" ht="22" customHeight="1">
      <x:c r="A16" s="50" t="str">
        <x:v>EX-0011</x:v>
      </x:c>
      <x:c r="B16" s="50" t="str">
        <x:v>IN-0044</x:v>
      </x:c>
      <x:c r="C16" s="50" t="str">
        <x:v>SP-1144</x:v>
      </x:c>
      <x:c r="D16" s="50" t="str">
        <x:v>Unit</x:v>
      </x:c>
      <x:c r="E16" s="50" t="str">
        <x:v>PACK</x:v>
      </x:c>
      <x:c r="F16" s="50" t="str">
        <x:v>UNIT_UNMAPPED</x:v>
      </x:c>
      <x:c r="G16" s="50" t="str">
        <x:v>High</x:v>
      </x:c>
      <x:c r="H16" s="50" t="str">
        <x:v>Unit cannot be mapped without quantity-conversion assumptions.</x:v>
      </x:c>
      <x:c r="I16" s="50" t="str">
        <x:v>Confirm units and any package multiplier.</x:v>
      </x:c>
      <x:c r="J16" s="50" t="str">
        <x:v>OPEN</x:v>
      </x:c>
    </x:row>
    <x:row r="17" ht="22" customHeight="1">
      <x:c r="A17" s="50" t="str">
        <x:v>EX-0012</x:v>
      </x:c>
      <x:c r="B17" s="50" t="str">
        <x:v>IN-0048</x:v>
      </x:c>
      <x:c r="C17" s="50" t="str">
        <x:v>SP-1148</x:v>
      </x:c>
      <x:c r="D17" s="50" t="str">
        <x:v>Unit Cost USD</x:v>
      </x:c>
      <x:c r="E17" s="50" t="str">
        <x:v>Call</x:v>
      </x:c>
      <x:c r="F17" s="50" t="str">
        <x:v>COST_MISSING_OR_TEXT</x:v>
      </x:c>
      <x:c r="G17" s="50" t="str">
        <x:v>Medium</x:v>
      </x:c>
      <x:c r="H17" s="50" t="str">
        <x:v>Unit cost is unavailable; cannot estimate total value.</x:v>
      </x:c>
      <x:c r="I17" s="50" t="str">
        <x:v>Confirm latest unit cost in source system.</x:v>
      </x:c>
      <x:c r="J17" s="50" t="str">
        <x:v>OPEN</x:v>
      </x:c>
    </x:row>
    <x:row r="18" ht="22" customHeight="1">
      <x:c r="A18" s="50" t="str">
        <x:v>EX-0013</x:v>
      </x:c>
      <x:c r="B18" s="50" t="str">
        <x:v>IN-0051</x:v>
      </x:c>
      <x:c r="C18" s="50" t="str">
        <x:v>SP-1151</x:v>
      </x:c>
      <x:c r="D18" s="50" t="str">
        <x:v>Storage Bin</x:v>
      </x:c>
      <x:c r="E18" s="50" t="str"/>
      <x:c r="F18" s="50" t="str">
        <x:v>LOCATION_MISSING</x:v>
      </x:c>
      <x:c r="G18" s="50" t="str">
        <x:v>Medium</x:v>
      </x:c>
      <x:c r="H18" s="50" t="str">
        <x:v>Part has no locatable storage bin.</x:v>
      </x:c>
      <x:c r="I18" s="50" t="str">
        <x:v>Confirm storage location.</x:v>
      </x:c>
      <x:c r="J18" s="50" t="str">
        <x:v>OPEN</x:v>
      </x:c>
    </x:row>
    <x:row r="19" ht="22" customHeight="1">
      <x:c r="A19" s="50" t="str">
        <x:v>EX-0014</x:v>
      </x:c>
      <x:c r="B19" s="50" t="str">
        <x:v>IN-0056</x:v>
      </x:c>
      <x:c r="C19" s="50" t="str">
        <x:v>SP-1156</x:v>
      </x:c>
      <x:c r="D19" s="50" t="str">
        <x:v>On Hand</x:v>
      </x:c>
      <x:c r="E19" s="50" t="str">
        <x:v>TBD</x:v>
      </x:c>
      <x:c r="F19" s="50" t="str">
        <x:v>QTY_MISSING_OR_TEXT</x:v>
      </x:c>
      <x:c r="G19" s="50" t="str">
        <x:v>High</x:v>
      </x:c>
      <x:c r="H19" s="50" t="str">
        <x:v>Available quantity cannot be verified.</x:v>
      </x:c>
      <x:c r="I19" s="50" t="str">
        <x:v>Recount stock and approve a numeric quantity.</x:v>
      </x:c>
      <x:c r="J19" s="50" t="str">
        <x:v>OPEN</x:v>
      </x:c>
    </x:row>
    <x:row r="20" ht="22" customHeight="1">
      <x:c r="A20" s="50" t="str">
        <x:v>EX-0015</x:v>
      </x:c>
      <x:c r="B20" s="50" t="str">
        <x:v>IN-0063</x:v>
      </x:c>
      <x:c r="C20" s="50" t="str">
        <x:v>SP-1163</x:v>
      </x:c>
      <x:c r="D20" s="50" t="str">
        <x:v>Reorder Point</x:v>
      </x:c>
      <x:c r="E20" s="50" t="str">
        <x:v>N/A</x:v>
      </x:c>
      <x:c r="F20" s="50" t="str">
        <x:v>REORDER_INVALID</x:v>
      </x:c>
      <x:c r="G20" s="50" t="str">
        <x:v>Medium</x:v>
      </x:c>
      <x:c r="H20" s="50" t="str">
        <x:v>Reorder point is missing or negative.</x:v>
      </x:c>
      <x:c r="I20" s="50" t="str">
        <x:v>Confirm minimum stocking threshold.</x:v>
      </x:c>
      <x:c r="J20" s="50" t="str">
        <x:v>OPEN</x:v>
      </x:c>
    </x:row>
    <x:row r="21" ht="22" customHeight="1">
      <x:c r="A21" s="50" t="str">
        <x:v>EX-0016</x:v>
      </x:c>
      <x:c r="B21" s="50" t="str">
        <x:v>IN-0067</x:v>
      </x:c>
      <x:c r="C21" s="50" t="str">
        <x:v>MISSING</x:v>
      </x:c>
      <x:c r="D21" s="50" t="str">
        <x:v>Part ID</x:v>
      </x:c>
      <x:c r="E21" s="50" t="str">
        <x:v>MISSING</x:v>
      </x:c>
      <x:c r="F21" s="50" t="str">
        <x:v>SKU_UNRECOGNIZED</x:v>
      </x:c>
      <x:c r="G21" s="50" t="str">
        <x:v>High</x:v>
      </x:c>
      <x:c r="H21" s="50" t="str">
        <x:v>Unrecognized part identifier; cannot safely map to catalog.</x:v>
      </x:c>
      <x:c r="I21" s="50" t="str">
        <x:v>Confirm correct master SKU.</x:v>
      </x:c>
      <x:c r="J21" s="50" t="str">
        <x:v>OPEN</x:v>
      </x:c>
    </x:row>
    <x:row r="22" ht="22" customHeight="1">
      <x:c r="A22" s="50" t="str">
        <x:v>EX-0017</x:v>
      </x:c>
      <x:c r="B22" s="50" t="str">
        <x:v>IN-0073</x:v>
      </x:c>
      <x:c r="C22" s="50" t="str">
        <x:v>SP-1173</x:v>
      </x:c>
      <x:c r="D22" s="50" t="str">
        <x:v>On Hand</x:v>
      </x:c>
      <x:c r="E22" s="50" t="str"/>
      <x:c r="F22" s="50" t="str">
        <x:v>QTY_MISSING_OR_TEXT</x:v>
      </x:c>
      <x:c r="G22" s="50" t="str">
        <x:v>High</x:v>
      </x:c>
      <x:c r="H22" s="50" t="str">
        <x:v>Available quantity cannot be verified.</x:v>
      </x:c>
      <x:c r="I22" s="50" t="str">
        <x:v>Recount stock and approve a numeric quantity.</x:v>
      </x:c>
      <x:c r="J22" s="50" t="str">
        <x:v>OPEN</x:v>
      </x:c>
    </x:row>
    <x:row r="23" ht="22" customHeight="1">
      <x:c r="A23" s="50" t="str">
        <x:v>EX-0018</x:v>
      </x:c>
      <x:c r="B23" s="50" t="str">
        <x:v>IN-0079</x:v>
      </x:c>
      <x:c r="C23" s="50" t="str">
        <x:v>SP-1179</x:v>
      </x:c>
      <x:c r="D23" s="50" t="str">
        <x:v>Reorder Point</x:v>
      </x:c>
      <x:c r="E23" s="50" t="str">
        <x:v>-1</x:v>
      </x:c>
      <x:c r="F23" s="50" t="str">
        <x:v>REORDER_INVALID</x:v>
      </x:c>
      <x:c r="G23" s="50" t="str">
        <x:v>Medium</x:v>
      </x:c>
      <x:c r="H23" s="50" t="str">
        <x:v>Reorder point is missing or negative.</x:v>
      </x:c>
      <x:c r="I23" s="50" t="str">
        <x:v>Confirm minimum stocking threshold.</x:v>
      </x:c>
      <x:c r="J23" s="50" t="str">
        <x:v>OPEN</x:v>
      </x:c>
    </x:row>
    <x:row r="24" ht="22" customHeight="1">
      <x:c r="A24" s="50" t="str">
        <x:v>EX-0019</x:v>
      </x:c>
      <x:c r="B24" s="50" t="str">
        <x:v>IN-0081</x:v>
      </x:c>
      <x:c r="C24" s="50" t="str">
        <x:v>SP-1181</x:v>
      </x:c>
      <x:c r="D24" s="50" t="str">
        <x:v>Supplier</x:v>
      </x:c>
      <x:c r="E24" s="50" t="str">
        <x:v>TBD vendor</x:v>
      </x:c>
      <x:c r="F24" s="50" t="str">
        <x:v>SUPPLIER_UNRECOGNIZED</x:v>
      </x:c>
      <x:c r="G24" s="50" t="str">
        <x:v>Low</x:v>
      </x:c>
      <x:c r="H24" s="50" t="str">
        <x:v>Supplier not matched to approved vendor list.</x:v>
      </x:c>
      <x:c r="I24" s="50" t="str">
        <x:v>Confirm supplier name.</x:v>
      </x:c>
      <x:c r="J24" s="50" t="str">
        <x:v>OPEN</x:v>
      </x:c>
    </x:row>
    <x:row r="25" ht="22" customHeight="1">
      <x:c r="A25" s="50" t="str">
        <x:v>EX-0020</x:v>
      </x:c>
      <x:c r="B25" s="50" t="str">
        <x:v>IN-0083</x:v>
      </x:c>
      <x:c r="C25" s="50" t="str">
        <x:v>SP-1183</x:v>
      </x:c>
      <x:c r="D25" s="50" t="str">
        <x:v>Unit Cost USD</x:v>
      </x:c>
      <x:c r="E25" s="50" t="str"/>
      <x:c r="F25" s="50" t="str">
        <x:v>COST_MISSING_OR_TEXT</x:v>
      </x:c>
      <x:c r="G25" s="50" t="str">
        <x:v>Medium</x:v>
      </x:c>
      <x:c r="H25" s="50" t="str">
        <x:v>Unit cost is unavailable; cannot estimate total value.</x:v>
      </x:c>
      <x:c r="I25" s="50" t="str">
        <x:v>Confirm latest unit cost in source system.</x:v>
      </x:c>
      <x:c r="J25" s="50" t="str">
        <x:v>OPEN</x:v>
      </x:c>
    </x:row>
    <x:row r="26" ht="22" customHeight="1">
      <x:c r="A26" s="50" t="str">
        <x:v>EX-0021</x:v>
      </x:c>
      <x:c r="B26" s="50" t="str">
        <x:v>IN-0084</x:v>
      </x:c>
      <x:c r="C26" s="50" t="str">
        <x:v>SP-1184</x:v>
      </x:c>
      <x:c r="D26" s="50" t="str">
        <x:v>Unit</x:v>
      </x:c>
      <x:c r="E26" s="50" t="str">
        <x:v>PACK</x:v>
      </x:c>
      <x:c r="F26" s="50" t="str">
        <x:v>UNIT_UNMAPPED</x:v>
      </x:c>
      <x:c r="G26" s="50" t="str">
        <x:v>High</x:v>
      </x:c>
      <x:c r="H26" s="50" t="str">
        <x:v>Unit cannot be mapped without quantity-conversion assumptions.</x:v>
      </x:c>
      <x:c r="I26" s="50" t="str">
        <x:v>Confirm units and any package multiplier.</x:v>
      </x:c>
      <x:c r="J26" s="50" t="str">
        <x:v>OPEN</x:v>
      </x:c>
    </x:row>
    <x:row r="27" ht="22" customHeight="1">
      <x:c r="A27" s="50" t="str">
        <x:v>EX-0022</x:v>
      </x:c>
      <x:c r="B27" s="50" t="str">
        <x:v>IN-0089</x:v>
      </x:c>
      <x:c r="C27" s="50" t="str">
        <x:v>SP-1189</x:v>
      </x:c>
      <x:c r="D27" s="50" t="str">
        <x:v>On Hand</x:v>
      </x:c>
      <x:c r="E27" s="50" t="str">
        <x:v>-3</x:v>
      </x:c>
      <x:c r="F27" s="50" t="str">
        <x:v>NEGATIVE_QUANTITY</x:v>
      </x:c>
      <x:c r="G27" s="50" t="str">
        <x:v>High</x:v>
      </x:c>
      <x:c r="H27" s="50" t="str">
        <x:v>On-hand quantity is negative.</x:v>
      </x:c>
      <x:c r="I27" s="50" t="str">
        <x:v>Investigate transaction history; do not overwrite.</x:v>
      </x:c>
      <x:c r="J27" s="50" t="str">
        <x:v>OPEN</x:v>
      </x:c>
    </x:row>
    <x:row r="28" ht="22" customHeight="1">
      <x:c r="A28" s="50" t="str">
        <x:v>EX-0023</x:v>
      </x:c>
      <x:c r="B28" s="50" t="str">
        <x:v>IN-0096</x:v>
      </x:c>
      <x:c r="C28" s="50" t="str">
        <x:v>SP-1196</x:v>
      </x:c>
      <x:c r="D28" s="50" t="str">
        <x:v>Storage Bin</x:v>
      </x:c>
      <x:c r="E28" s="50" t="str"/>
      <x:c r="F28" s="50" t="str">
        <x:v>LOCATION_MISSING</x:v>
      </x:c>
      <x:c r="G28" s="50" t="str">
        <x:v>Medium</x:v>
      </x:c>
      <x:c r="H28" s="50" t="str">
        <x:v>Part has no locatable storage bin.</x:v>
      </x:c>
      <x:c r="I28" s="50" t="str">
        <x:v>Confirm storage location.</x:v>
      </x:c>
      <x:c r="J28" s="50" t="str">
        <x:v>OPEN</x:v>
      </x:c>
    </x:row>
    <x:row r="29" ht="22" customHeight="1">
      <x:c r="A29" s="50" t="str">
        <x:v>EX-0024</x:v>
      </x:c>
      <x:c r="B29" s="50" t="str">
        <x:v>IN-0104</x:v>
      </x:c>
      <x:c r="C29" s="50" t="str">
        <x:v>SP-1204</x:v>
      </x:c>
      <x:c r="D29" s="50" t="str">
        <x:v>Unit Cost USD</x:v>
      </x:c>
      <x:c r="E29" s="50" t="str"/>
      <x:c r="F29" s="50" t="str">
        <x:v>COST_MISSING_OR_TEXT</x:v>
      </x:c>
      <x:c r="G29" s="50" t="str">
        <x:v>Medium</x:v>
      </x:c>
      <x:c r="H29" s="50" t="str">
        <x:v>Unit cost is unavailable; cannot estimate total value.</x:v>
      </x:c>
      <x:c r="I29" s="50" t="str">
        <x:v>Confirm latest unit cost in source system.</x:v>
      </x:c>
      <x:c r="J29" s="50" t="str">
        <x:v>OPEN</x:v>
      </x:c>
    </x:row>
    <x:row r="30" ht="22" customHeight="1">
      <x:c r="A30" s="50" t="str">
        <x:v>EX-0025</x:v>
      </x:c>
      <x:c r="B30" s="50" t="str">
        <x:v>IN-0107</x:v>
      </x:c>
      <x:c r="C30" s="50" t="str">
        <x:v>SP-1207</x:v>
      </x:c>
      <x:c r="D30" s="50" t="str">
        <x:v>Storage Bin</x:v>
      </x:c>
      <x:c r="E30" s="50" t="str">
        <x:v>STAGING???</x:v>
      </x:c>
      <x:c r="F30" s="50" t="str">
        <x:v>LOCATION_INVALID</x:v>
      </x:c>
      <x:c r="G30" s="50" t="str">
        <x:v>Medium</x:v>
      </x:c>
      <x:c r="H30" s="50" t="str">
        <x:v>Bin does not fit the demonstrated warehouse layout.</x:v>
      </x:c>
      <x:c r="I30" s="50" t="str">
        <x:v>Confirm and correct actual bin.</x:v>
      </x:c>
      <x:c r="J30" s="50" t="str">
        <x:v>OPEN</x:v>
      </x:c>
    </x:row>
    <x:row r="31" ht="22" customHeight="1">
      <x:c r="A31" s="50" t="str">
        <x:v>EX-0026</x:v>
      </x:c>
      <x:c r="B31" s="50" t="str">
        <x:v>IN-0109</x:v>
      </x:c>
      <x:c r="C31" s="50" t="str">
        <x:v>SP-1209</x:v>
      </x:c>
      <x:c r="D31" s="50" t="str">
        <x:v>On Hand</x:v>
      </x:c>
      <x:c r="E31" s="50" t="str">
        <x:v>TBD</x:v>
      </x:c>
      <x:c r="F31" s="50" t="str">
        <x:v>QTY_MISSING_OR_TEXT</x:v>
      </x:c>
      <x:c r="G31" s="50" t="str">
        <x:v>High</x:v>
      </x:c>
      <x:c r="H31" s="50" t="str">
        <x:v>Available quantity cannot be verified.</x:v>
      </x:c>
      <x:c r="I31" s="50" t="str">
        <x:v>Recount stock and approve a numeric quantity.</x:v>
      </x:c>
      <x:c r="J31" s="50" t="str">
        <x:v>OPEN</x:v>
      </x:c>
    </x:row>
    <x:row r="32" ht="22" customHeight="1">
      <x:c r="A32" s="50" t="str">
        <x:v>EX-0027</x:v>
      </x:c>
      <x:c r="B32" s="50" t="str">
        <x:v>IN-0111</x:v>
      </x:c>
      <x:c r="C32" s="50" t="str">
        <x:v>MISSING</x:v>
      </x:c>
      <x:c r="D32" s="50" t="str">
        <x:v>Part ID</x:v>
      </x:c>
      <x:c r="E32" s="50" t="str">
        <x:v>MISSING</x:v>
      </x:c>
      <x:c r="F32" s="50" t="str">
        <x:v>SKU_UNRECOGNIZED</x:v>
      </x:c>
      <x:c r="G32" s="50" t="str">
        <x:v>High</x:v>
      </x:c>
      <x:c r="H32" s="50" t="str">
        <x:v>Unrecognized part identifier; cannot safely map to catalog.</x:v>
      </x:c>
      <x:c r="I32" s="50" t="str">
        <x:v>Confirm correct master SKU.</x:v>
      </x:c>
      <x:c r="J32" s="50" t="str">
        <x:v>OPEN</x:v>
      </x:c>
    </x:row>
    <x:row r="33" ht="22" customHeight="1">
      <x:c r="A33" s="50" t="str">
        <x:v>EX-0028</x:v>
      </x:c>
      <x:c r="B33" s="50" t="str">
        <x:v>IN-0117</x:v>
      </x:c>
      <x:c r="C33" s="50" t="str">
        <x:v>SP-??</x:v>
      </x:c>
      <x:c r="D33" s="50" t="str">
        <x:v>Part ID</x:v>
      </x:c>
      <x:c r="E33" s="50" t="str">
        <x:v>SP-??</x:v>
      </x:c>
      <x:c r="F33" s="50" t="str">
        <x:v>SKU_UNRECOGNIZED</x:v>
      </x:c>
      <x:c r="G33" s="50" t="str">
        <x:v>High</x:v>
      </x:c>
      <x:c r="H33" s="50" t="str">
        <x:v>Unrecognized part identifier; cannot safely map to catalog.</x:v>
      </x:c>
      <x:c r="I33" s="50" t="str">
        <x:v>Confirm correct master SKU.</x:v>
      </x:c>
      <x:c r="J33" s="50" t="str">
        <x:v>OPEN</x:v>
      </x:c>
    </x:row>
    <x:row r="34" ht="22" customHeight="1">
      <x:c r="A34" s="50" t="str">
        <x:v>EX-0029</x:v>
      </x:c>
      <x:c r="B34" s="50" t="str">
        <x:v>IN-0118</x:v>
      </x:c>
      <x:c r="C34" s="50" t="str">
        <x:v>SP-1218</x:v>
      </x:c>
      <x:c r="D34" s="50" t="str">
        <x:v>On Hand</x:v>
      </x:c>
      <x:c r="E34" s="50" t="str"/>
      <x:c r="F34" s="50" t="str">
        <x:v>QTY_MISSING_OR_TEXT</x:v>
      </x:c>
      <x:c r="G34" s="50" t="str">
        <x:v>High</x:v>
      </x:c>
      <x:c r="H34" s="50" t="str">
        <x:v>Available quantity cannot be verified.</x:v>
      </x:c>
      <x:c r="I34" s="50" t="str">
        <x:v>Recount stock and approve a numeric quantity.</x:v>
      </x:c>
      <x:c r="J34" s="50" t="str">
        <x:v>OPEN</x:v>
      </x:c>
    </x:row>
    <x:row r="35" ht="22" customHeight="1">
      <x:c r="A35" s="50" t="str">
        <x:v>EX-0030</x:v>
      </x:c>
      <x:c r="B35" s="50" t="str">
        <x:v>IN-0005</x:v>
      </x:c>
      <x:c r="C35" s="50" t="str">
        <x:v>SP-1105</x:v>
      </x:c>
      <x:c r="D35" s="50" t="str">
        <x:v>Part ID</x:v>
      </x:c>
      <x:c r="E35" s="50" t="str">
        <x:v>SP-1105</x:v>
      </x:c>
      <x:c r="F35" s="50" t="str">
        <x:v>DUPLICATE_SKU</x:v>
      </x:c>
      <x:c r="G35" s="50" t="str">
        <x:v>High</x:v>
      </x:c>
      <x:c r="H35" s="50" t="str">
        <x:v>Part number appears in multiple source rows; bin or count may conflict.</x:v>
      </x:c>
      <x:c r="I35" s="50" t="str">
        <x:v>Compare counts and bins; decide merge/retain only with approval.</x:v>
      </x:c>
      <x:c r="J35" s="50" t="str">
        <x:v>OPEN</x:v>
      </x:c>
    </x:row>
    <x:row r="36" ht="22" customHeight="1">
      <x:c r="A36" s="50" t="str">
        <x:v>EX-0031</x:v>
      </x:c>
      <x:c r="B36" s="50" t="str">
        <x:v>IN-0016</x:v>
      </x:c>
      <x:c r="C36" s="50" t="str">
        <x:v>SP-1116</x:v>
      </x:c>
      <x:c r="D36" s="50" t="str">
        <x:v>Part ID</x:v>
      </x:c>
      <x:c r="E36" s="50" t="str">
        <x:v>SP-1116</x:v>
      </x:c>
      <x:c r="F36" s="50" t="str">
        <x:v>DUPLICATE_SKU</x:v>
      </x:c>
      <x:c r="G36" s="50" t="str">
        <x:v>High</x:v>
      </x:c>
      <x:c r="H36" s="50" t="str">
        <x:v>Part number appears in multiple source rows; bin or count may conflict.</x:v>
      </x:c>
      <x:c r="I36" s="50" t="str">
        <x:v>Compare counts and bins; decide merge/retain only with approval.</x:v>
      </x:c>
      <x:c r="J36" s="50" t="str">
        <x:v>OPEN</x:v>
      </x:c>
    </x:row>
    <x:row r="37" ht="22" customHeight="1">
      <x:c r="A37" s="50" t="str">
        <x:v>EX-0032</x:v>
      </x:c>
      <x:c r="B37" s="50" t="str">
        <x:v>IN-0022</x:v>
      </x:c>
      <x:c r="C37" s="50" t="str">
        <x:v>SP-1122</x:v>
      </x:c>
      <x:c r="D37" s="50" t="str">
        <x:v>Part ID</x:v>
      </x:c>
      <x:c r="E37" s="50" t="str">
        <x:v>SP-1122</x:v>
      </x:c>
      <x:c r="F37" s="50" t="str">
        <x:v>DUPLICATE_SKU</x:v>
      </x:c>
      <x:c r="G37" s="50" t="str">
        <x:v>High</x:v>
      </x:c>
      <x:c r="H37" s="50" t="str">
        <x:v>Part number appears in multiple source rows; bin or count may conflict.</x:v>
      </x:c>
      <x:c r="I37" s="50" t="str">
        <x:v>Compare counts and bins; decide merge/retain only with approval.</x:v>
      </x:c>
      <x:c r="J37" s="50" t="str">
        <x:v>OPEN</x:v>
      </x:c>
    </x:row>
    <x:row r="38" ht="22" customHeight="1">
      <x:c r="A38" s="50" t="str">
        <x:v>EX-0033</x:v>
      </x:c>
      <x:c r="B38" s="50" t="str">
        <x:v>IN-0038</x:v>
      </x:c>
      <x:c r="C38" s="50" t="str">
        <x:v>SP-1138</x:v>
      </x:c>
      <x:c r="D38" s="50" t="str">
        <x:v>Part ID</x:v>
      </x:c>
      <x:c r="E38" s="50" t="str">
        <x:v>SP-1138</x:v>
      </x:c>
      <x:c r="F38" s="50" t="str">
        <x:v>DUPLICATE_SKU</x:v>
      </x:c>
      <x:c r="G38" s="50" t="str">
        <x:v>High</x:v>
      </x:c>
      <x:c r="H38" s="50" t="str">
        <x:v>Part number appears in multiple source rows; bin or count may conflict.</x:v>
      </x:c>
      <x:c r="I38" s="50" t="str">
        <x:v>Compare counts and bins; decide merge/retain only with approval.</x:v>
      </x:c>
      <x:c r="J38" s="50" t="str">
        <x:v>OPEN</x:v>
      </x:c>
    </x:row>
    <x:row r="39" ht="22" customHeight="1">
      <x:c r="A39" s="50" t="str">
        <x:v>EX-0034</x:v>
      </x:c>
      <x:c r="B39" s="50" t="str">
        <x:v>IN-0040</x:v>
      </x:c>
      <x:c r="C39" s="50" t="str">
        <x:v>SP-1140</x:v>
      </x:c>
      <x:c r="D39" s="50" t="str">
        <x:v>Part ID</x:v>
      </x:c>
      <x:c r="E39" s="50" t="str">
        <x:v>SP-1140</x:v>
      </x:c>
      <x:c r="F39" s="50" t="str">
        <x:v>DUPLICATE_SKU</x:v>
      </x:c>
      <x:c r="G39" s="50" t="str">
        <x:v>High</x:v>
      </x:c>
      <x:c r="H39" s="50" t="str">
        <x:v>Part number appears in multiple source rows; bin or count may conflict.</x:v>
      </x:c>
      <x:c r="I39" s="50" t="str">
        <x:v>Compare counts and bins; decide merge/retain only with approval.</x:v>
      </x:c>
      <x:c r="J39" s="50" t="str">
        <x:v>OPEN</x:v>
      </x:c>
    </x:row>
    <x:row r="40" ht="22" customHeight="1">
      <x:c r="A40" s="50" t="str">
        <x:v>EX-0035</x:v>
      </x:c>
      <x:c r="B40" s="50" t="str">
        <x:v>IN-0052</x:v>
      </x:c>
      <x:c r="C40" s="50" t="str">
        <x:v>SP-1152</x:v>
      </x:c>
      <x:c r="D40" s="50" t="str">
        <x:v>Part ID</x:v>
      </x:c>
      <x:c r="E40" s="50" t="str">
        <x:v>SP-1152</x:v>
      </x:c>
      <x:c r="F40" s="50" t="str">
        <x:v>DUPLICATE_SKU</x:v>
      </x:c>
      <x:c r="G40" s="50" t="str">
        <x:v>High</x:v>
      </x:c>
      <x:c r="H40" s="50" t="str">
        <x:v>Part number appears in multiple source rows; bin or count may conflict.</x:v>
      </x:c>
      <x:c r="I40" s="50" t="str">
        <x:v>Compare counts and bins; decide merge/retain only with approval.</x:v>
      </x:c>
      <x:c r="J40" s="50" t="str">
        <x:v>OPEN</x:v>
      </x:c>
    </x:row>
    <x:row r="41" ht="22" customHeight="1">
      <x:c r="A41" s="50" t="str">
        <x:v>EX-0036</x:v>
      </x:c>
      <x:c r="B41" s="50" t="str">
        <x:v>IN-0061</x:v>
      </x:c>
      <x:c r="C41" s="50" t="str">
        <x:v>SP-1161</x:v>
      </x:c>
      <x:c r="D41" s="50" t="str">
        <x:v>Part ID</x:v>
      </x:c>
      <x:c r="E41" s="50" t="str">
        <x:v>SP-1161</x:v>
      </x:c>
      <x:c r="F41" s="50" t="str">
        <x:v>DUPLICATE_SKU</x:v>
      </x:c>
      <x:c r="G41" s="50" t="str">
        <x:v>High</x:v>
      </x:c>
      <x:c r="H41" s="50" t="str">
        <x:v>Part number appears in multiple source rows; bin or count may conflict.</x:v>
      </x:c>
      <x:c r="I41" s="50" t="str">
        <x:v>Compare counts and bins; decide merge/retain only with approval.</x:v>
      </x:c>
      <x:c r="J41" s="50" t="str">
        <x:v>OPEN</x:v>
      </x:c>
    </x:row>
    <x:row r="42" ht="22" customHeight="1">
      <x:c r="A42" s="50" t="str">
        <x:v>EX-0037</x:v>
      </x:c>
      <x:c r="B42" s="50" t="str">
        <x:v>IN-0064</x:v>
      </x:c>
      <x:c r="C42" s="50" t="str">
        <x:v>SP-1164</x:v>
      </x:c>
      <x:c r="D42" s="50" t="str">
        <x:v>Part ID</x:v>
      </x:c>
      <x:c r="E42" s="50" t="str">
        <x:v>SP-1164</x:v>
      </x:c>
      <x:c r="F42" s="50" t="str">
        <x:v>DUPLICATE_SKU</x:v>
      </x:c>
      <x:c r="G42" s="50" t="str">
        <x:v>High</x:v>
      </x:c>
      <x:c r="H42" s="50" t="str">
        <x:v>Part number appears in multiple source rows; bin or count may conflict.</x:v>
      </x:c>
      <x:c r="I42" s="50" t="str">
        <x:v>Compare counts and bins; decide merge/retain only with approval.</x:v>
      </x:c>
      <x:c r="J42" s="50" t="str">
        <x:v>OPEN</x:v>
      </x:c>
    </x:row>
    <x:row r="43" ht="22" customHeight="1">
      <x:c r="A43" s="50" t="str">
        <x:v>EX-0038</x:v>
      </x:c>
      <x:c r="B43" s="50" t="str">
        <x:v>IN-0075</x:v>
      </x:c>
      <x:c r="C43" s="50" t="str">
        <x:v>SP-1175</x:v>
      </x:c>
      <x:c r="D43" s="50" t="str">
        <x:v>Part ID</x:v>
      </x:c>
      <x:c r="E43" s="50" t="str">
        <x:v>SP-1175</x:v>
      </x:c>
      <x:c r="F43" s="50" t="str">
        <x:v>DUPLICATE_SKU</x:v>
      </x:c>
      <x:c r="G43" s="50" t="str">
        <x:v>High</x:v>
      </x:c>
      <x:c r="H43" s="50" t="str">
        <x:v>Part number appears in multiple source rows; bin or count may conflict.</x:v>
      </x:c>
      <x:c r="I43" s="50" t="str">
        <x:v>Compare counts and bins; decide merge/retain only with approval.</x:v>
      </x:c>
      <x:c r="J43" s="50" t="str">
        <x:v>OPEN</x:v>
      </x:c>
    </x:row>
    <x:row r="44" ht="22" customHeight="1">
      <x:c r="A44" s="50" t="str">
        <x:v>EX-0039</x:v>
      </x:c>
      <x:c r="B44" s="50" t="str">
        <x:v>IN-0087</x:v>
      </x:c>
      <x:c r="C44" s="50" t="str">
        <x:v>SP-1187</x:v>
      </x:c>
      <x:c r="D44" s="50" t="str">
        <x:v>Part ID</x:v>
      </x:c>
      <x:c r="E44" s="50" t="str">
        <x:v>SP-1187</x:v>
      </x:c>
      <x:c r="F44" s="50" t="str">
        <x:v>DUPLICATE_SKU</x:v>
      </x:c>
      <x:c r="G44" s="50" t="str">
        <x:v>High</x:v>
      </x:c>
      <x:c r="H44" s="50" t="str">
        <x:v>Part number appears in multiple source rows; bin or count may conflict.</x:v>
      </x:c>
      <x:c r="I44" s="50" t="str">
        <x:v>Compare counts and bins; decide merge/retain only with approval.</x:v>
      </x:c>
      <x:c r="J44" s="50" t="str">
        <x:v>OPEN</x:v>
      </x:c>
    </x:row>
    <x:row r="45" ht="22" customHeight="1">
      <x:c r="A45" s="50" t="str">
        <x:v>EX-0040</x:v>
      </x:c>
      <x:c r="B45" s="50" t="str">
        <x:v>IN-0101</x:v>
      </x:c>
      <x:c r="C45" s="50" t="str">
        <x:v>SP-1201</x:v>
      </x:c>
      <x:c r="D45" s="50" t="str">
        <x:v>Part ID</x:v>
      </x:c>
      <x:c r="E45" s="50" t="str">
        <x:v>SP-1201</x:v>
      </x:c>
      <x:c r="F45" s="50" t="str">
        <x:v>DUPLICATE_SKU</x:v>
      </x:c>
      <x:c r="G45" s="50" t="str">
        <x:v>High</x:v>
      </x:c>
      <x:c r="H45" s="50" t="str">
        <x:v>Part number appears in multiple source rows; bin or count may conflict.</x:v>
      </x:c>
      <x:c r="I45" s="50" t="str">
        <x:v>Compare counts and bins; decide merge/retain only with approval.</x:v>
      </x:c>
      <x:c r="J45" s="50" t="str">
        <x:v>OPEN</x:v>
      </x:c>
    </x:row>
    <x:row r="46" ht="22" customHeight="1">
      <x:c r="A46" s="50" t="str">
        <x:v>EX-0041</x:v>
      </x:c>
      <x:c r="B46" s="50" t="str">
        <x:v>IN-0105</x:v>
      </x:c>
      <x:c r="C46" s="50" t="str">
        <x:v>SP-1205</x:v>
      </x:c>
      <x:c r="D46" s="50" t="str">
        <x:v>Part ID</x:v>
      </x:c>
      <x:c r="E46" s="50" t="str">
        <x:v>SP-1205</x:v>
      </x:c>
      <x:c r="F46" s="50" t="str">
        <x:v>DUPLICATE_SKU</x:v>
      </x:c>
      <x:c r="G46" s="50" t="str">
        <x:v>High</x:v>
      </x:c>
      <x:c r="H46" s="50" t="str">
        <x:v>Part number appears in multiple source rows; bin or count may conflict.</x:v>
      </x:c>
      <x:c r="I46" s="50" t="str">
        <x:v>Compare counts and bins; decide merge/retain only with approval.</x:v>
      </x:c>
      <x:c r="J46" s="50" t="str">
        <x:v>OPEN</x:v>
      </x:c>
    </x:row>
    <x:row r="47" ht="22" customHeight="1">
      <x:c r="A47" s="50" t="str">
        <x:v>EX-0042</x:v>
      </x:c>
      <x:c r="B47" s="50" t="str">
        <x:v>IN-0112</x:v>
      </x:c>
      <x:c r="C47" s="50" t="str">
        <x:v>SP-1212</x:v>
      </x:c>
      <x:c r="D47" s="50" t="str">
        <x:v>Part ID</x:v>
      </x:c>
      <x:c r="E47" s="50" t="str">
        <x:v>SP-1212</x:v>
      </x:c>
      <x:c r="F47" s="50" t="str">
        <x:v>DUPLICATE_SKU</x:v>
      </x:c>
      <x:c r="G47" s="50" t="str">
        <x:v>High</x:v>
      </x:c>
      <x:c r="H47" s="50" t="str">
        <x:v>Part number appears in multiple source rows; bin or count may conflict.</x:v>
      </x:c>
      <x:c r="I47" s="50" t="str">
        <x:v>Compare counts and bins; decide merge/retain only with approval.</x:v>
      </x:c>
      <x:c r="J47" s="50" t="str">
        <x:v>OPEN</x:v>
      </x:c>
    </x:row>
    <x:row r="48" ht="22" customHeight="1">
      <x:c r="A48" s="50" t="str">
        <x:v>EX-0043</x:v>
      </x:c>
      <x:c r="B48" s="50" t="str">
        <x:v>IN-0121</x:v>
      </x:c>
      <x:c r="C48" s="50" t="str">
        <x:v>SP-1105</x:v>
      </x:c>
      <x:c r="D48" s="50" t="str">
        <x:v>Part ID</x:v>
      </x:c>
      <x:c r="E48" s="50" t="str">
        <x:v>SP-1105</x:v>
      </x:c>
      <x:c r="F48" s="50" t="str">
        <x:v>DUPLICATE_SKU</x:v>
      </x:c>
      <x:c r="G48" s="50" t="str">
        <x:v>High</x:v>
      </x:c>
      <x:c r="H48" s="50" t="str">
        <x:v>Part number appears in multiple source rows; bin or count may conflict.</x:v>
      </x:c>
      <x:c r="I48" s="50" t="str">
        <x:v>Compare counts and bins; decide merge/retain only with approval.</x:v>
      </x:c>
      <x:c r="J48" s="50" t="str">
        <x:v>OPEN</x:v>
      </x:c>
    </x:row>
    <x:row r="49" ht="22" customHeight="1">
      <x:c r="A49" s="50" t="str">
        <x:v>EX-0044</x:v>
      </x:c>
      <x:c r="B49" s="50" t="str">
        <x:v>IN-0122</x:v>
      </x:c>
      <x:c r="C49" s="50" t="str">
        <x:v>SP-1122</x:v>
      </x:c>
      <x:c r="D49" s="50" t="str">
        <x:v>Part ID</x:v>
      </x:c>
      <x:c r="E49" s="50" t="str">
        <x:v>SP-1122</x:v>
      </x:c>
      <x:c r="F49" s="50" t="str">
        <x:v>DUPLICATE_SKU</x:v>
      </x:c>
      <x:c r="G49" s="50" t="str">
        <x:v>High</x:v>
      </x:c>
      <x:c r="H49" s="50" t="str">
        <x:v>Part number appears in multiple source rows; bin or count may conflict.</x:v>
      </x:c>
      <x:c r="I49" s="50" t="str">
        <x:v>Compare counts and bins; decide merge/retain only with approval.</x:v>
      </x:c>
      <x:c r="J49" s="50" t="str">
        <x:v>OPEN</x:v>
      </x:c>
    </x:row>
    <x:row r="50" ht="22" customHeight="1">
      <x:c r="A50" s="50" t="str">
        <x:v>EX-0045</x:v>
      </x:c>
      <x:c r="B50" s="50" t="str">
        <x:v>IN-0123</x:v>
      </x:c>
      <x:c r="C50" s="50" t="str">
        <x:v>SP-1140</x:v>
      </x:c>
      <x:c r="D50" s="50" t="str">
        <x:v>Part ID</x:v>
      </x:c>
      <x:c r="E50" s="50" t="str">
        <x:v>SP-1140</x:v>
      </x:c>
      <x:c r="F50" s="50" t="str">
        <x:v>DUPLICATE_SKU</x:v>
      </x:c>
      <x:c r="G50" s="50" t="str">
        <x:v>High</x:v>
      </x:c>
      <x:c r="H50" s="50" t="str">
        <x:v>Part number appears in multiple source rows; bin or count may conflict.</x:v>
      </x:c>
      <x:c r="I50" s="50" t="str">
        <x:v>Compare counts and bins; decide merge/retain only with approval.</x:v>
      </x:c>
      <x:c r="J50" s="50" t="str">
        <x:v>OPEN</x:v>
      </x:c>
    </x:row>
    <x:row r="51" ht="22" customHeight="1">
      <x:c r="A51" s="50" t="str">
        <x:v>EX-0046</x:v>
      </x:c>
      <x:c r="B51" s="50" t="str">
        <x:v>IN-0124</x:v>
      </x:c>
      <x:c r="C51" s="50" t="str">
        <x:v>SP-1164</x:v>
      </x:c>
      <x:c r="D51" s="50" t="str">
        <x:v>Part ID</x:v>
      </x:c>
      <x:c r="E51" s="50" t="str">
        <x:v>SP-1164</x:v>
      </x:c>
      <x:c r="F51" s="50" t="str">
        <x:v>DUPLICATE_SKU</x:v>
      </x:c>
      <x:c r="G51" s="50" t="str">
        <x:v>High</x:v>
      </x:c>
      <x:c r="H51" s="50" t="str">
        <x:v>Part number appears in multiple source rows; bin or count may conflict.</x:v>
      </x:c>
      <x:c r="I51" s="50" t="str">
        <x:v>Compare counts and bins; decide merge/retain only with approval.</x:v>
      </x:c>
      <x:c r="J51" s="50" t="str">
        <x:v>OPEN</x:v>
      </x:c>
    </x:row>
    <x:row r="52" ht="22" customHeight="1">
      <x:c r="A52" s="50" t="str">
        <x:v>EX-0047</x:v>
      </x:c>
      <x:c r="B52" s="50" t="str">
        <x:v>IN-0125</x:v>
      </x:c>
      <x:c r="C52" s="50" t="str">
        <x:v>SP-1187</x:v>
      </x:c>
      <x:c r="D52" s="50" t="str">
        <x:v>Part ID</x:v>
      </x:c>
      <x:c r="E52" s="50" t="str">
        <x:v>SP-1187</x:v>
      </x:c>
      <x:c r="F52" s="50" t="str">
        <x:v>DUPLICATE_SKU</x:v>
      </x:c>
      <x:c r="G52" s="50" t="str">
        <x:v>High</x:v>
      </x:c>
      <x:c r="H52" s="50" t="str">
        <x:v>Part number appears in multiple source rows; bin or count may conflict.</x:v>
      </x:c>
      <x:c r="I52" s="50" t="str">
        <x:v>Compare counts and bins; decide merge/retain only with approval.</x:v>
      </x:c>
      <x:c r="J52" s="50" t="str">
        <x:v>OPEN</x:v>
      </x:c>
    </x:row>
    <x:row r="53" ht="22" customHeight="1">
      <x:c r="A53" s="50" t="str">
        <x:v>EX-0048</x:v>
      </x:c>
      <x:c r="B53" s="50" t="str">
        <x:v>IN-0126</x:v>
      </x:c>
      <x:c r="C53" s="50" t="str">
        <x:v>SP-1212</x:v>
      </x:c>
      <x:c r="D53" s="50" t="str">
        <x:v>Part ID</x:v>
      </x:c>
      <x:c r="E53" s="50" t="str">
        <x:v>SP-1212</x:v>
      </x:c>
      <x:c r="F53" s="50" t="str">
        <x:v>DUPLICATE_SKU</x:v>
      </x:c>
      <x:c r="G53" s="50" t="str">
        <x:v>High</x:v>
      </x:c>
      <x:c r="H53" s="50" t="str">
        <x:v>Part number appears in multiple source rows; bin or count may conflict.</x:v>
      </x:c>
      <x:c r="I53" s="50" t="str">
        <x:v>Compare counts and bins; decide merge/retain only with approval.</x:v>
      </x:c>
      <x:c r="J53" s="50" t="str">
        <x:v>OPEN</x:v>
      </x:c>
    </x:row>
    <x:row r="54" ht="22" customHeight="1">
      <x:c r="A54" s="50" t="str">
        <x:v>EX-0049</x:v>
      </x:c>
      <x:c r="B54" s="50" t="str">
        <x:v>IN-0127</x:v>
      </x:c>
      <x:c r="C54" s="50" t="str">
        <x:v>SP-1138</x:v>
      </x:c>
      <x:c r="D54" s="50" t="str">
        <x:v>Part ID</x:v>
      </x:c>
      <x:c r="E54" s="50" t="str">
        <x:v>SP-1138</x:v>
      </x:c>
      <x:c r="F54" s="50" t="str">
        <x:v>DUPLICATE_SKU</x:v>
      </x:c>
      <x:c r="G54" s="50" t="str">
        <x:v>High</x:v>
      </x:c>
      <x:c r="H54" s="50" t="str">
        <x:v>Part number appears in multiple source rows; bin or count may conflict.</x:v>
      </x:c>
      <x:c r="I54" s="50" t="str">
        <x:v>Compare counts and bins; decide merge/retain only with approval.</x:v>
      </x:c>
      <x:c r="J54" s="50" t="str">
        <x:v>OPEN</x:v>
      </x:c>
    </x:row>
    <x:row r="55" ht="22" customHeight="1">
      <x:c r="A55" s="50" t="str">
        <x:v>EX-0050</x:v>
      </x:c>
      <x:c r="B55" s="50" t="str">
        <x:v>IN-0128</x:v>
      </x:c>
      <x:c r="C55" s="50" t="str">
        <x:v>SP-1201</x:v>
      </x:c>
      <x:c r="D55" s="50" t="str">
        <x:v>Part ID</x:v>
      </x:c>
      <x:c r="E55" s="50" t="str">
        <x:v>SP-1201</x:v>
      </x:c>
      <x:c r="F55" s="50" t="str">
        <x:v>DUPLICATE_SKU</x:v>
      </x:c>
      <x:c r="G55" s="50" t="str">
        <x:v>High</x:v>
      </x:c>
      <x:c r="H55" s="50" t="str">
        <x:v>Part number appears in multiple source rows; bin or count may conflict.</x:v>
      </x:c>
      <x:c r="I55" s="50" t="str">
        <x:v>Compare counts and bins; decide merge/retain only with approval.</x:v>
      </x:c>
      <x:c r="J55" s="50" t="str">
        <x:v>OPEN</x:v>
      </x:c>
    </x:row>
    <x:row r="56" ht="22" customHeight="1">
      <x:c r="A56" s="50" t="str">
        <x:v>EX-0051</x:v>
      </x:c>
      <x:c r="B56" s="50" t="str">
        <x:v>IN-0129</x:v>
      </x:c>
      <x:c r="C56" s="50" t="str">
        <x:v>SP-1116</x:v>
      </x:c>
      <x:c r="D56" s="50" t="str">
        <x:v>Part ID</x:v>
      </x:c>
      <x:c r="E56" s="50" t="str">
        <x:v>SP-1116</x:v>
      </x:c>
      <x:c r="F56" s="50" t="str">
        <x:v>DUPLICATE_SKU</x:v>
      </x:c>
      <x:c r="G56" s="50" t="str">
        <x:v>High</x:v>
      </x:c>
      <x:c r="H56" s="50" t="str">
        <x:v>Part number appears in multiple source rows; bin or count may conflict.</x:v>
      </x:c>
      <x:c r="I56" s="50" t="str">
        <x:v>Compare counts and bins; decide merge/retain only with approval.</x:v>
      </x:c>
      <x:c r="J56" s="50" t="str">
        <x:v>OPEN</x:v>
      </x:c>
    </x:row>
    <x:row r="57" ht="22" customHeight="1">
      <x:c r="A57" s="50" t="str">
        <x:v>EX-0052</x:v>
      </x:c>
      <x:c r="B57" s="50" t="str">
        <x:v>IN-0130</x:v>
      </x:c>
      <x:c r="C57" s="50" t="str">
        <x:v>SP-1152</x:v>
      </x:c>
      <x:c r="D57" s="50" t="str">
        <x:v>Part ID</x:v>
      </x:c>
      <x:c r="E57" s="50" t="str">
        <x:v>SP-1152</x:v>
      </x:c>
      <x:c r="F57" s="50" t="str">
        <x:v>DUPLICATE_SKU</x:v>
      </x:c>
      <x:c r="G57" s="50" t="str">
        <x:v>High</x:v>
      </x:c>
      <x:c r="H57" s="50" t="str">
        <x:v>Part number appears in multiple source rows; bin or count may conflict.</x:v>
      </x:c>
      <x:c r="I57" s="50" t="str">
        <x:v>Compare counts and bins; decide merge/retain only with approval.</x:v>
      </x:c>
      <x:c r="J57" s="50" t="str">
        <x:v>OPEN</x:v>
      </x:c>
    </x:row>
    <x:row r="58" ht="22" customHeight="1">
      <x:c r="A58" s="50" t="str">
        <x:v>EX-0053</x:v>
      </x:c>
      <x:c r="B58" s="50" t="str">
        <x:v>IN-0131</x:v>
      </x:c>
      <x:c r="C58" s="50" t="str">
        <x:v>SP-1161</x:v>
      </x:c>
      <x:c r="D58" s="50" t="str">
        <x:v>Part ID</x:v>
      </x:c>
      <x:c r="E58" s="50" t="str">
        <x:v>SP-1161</x:v>
      </x:c>
      <x:c r="F58" s="50" t="str">
        <x:v>DUPLICATE_SKU</x:v>
      </x:c>
      <x:c r="G58" s="50" t="str">
        <x:v>High</x:v>
      </x:c>
      <x:c r="H58" s="50" t="str">
        <x:v>Part number appears in multiple source rows; bin or count may conflict.</x:v>
      </x:c>
      <x:c r="I58" s="50" t="str">
        <x:v>Compare counts and bins; decide merge/retain only with approval.</x:v>
      </x:c>
      <x:c r="J58" s="50" t="str">
        <x:v>OPEN</x:v>
      </x:c>
    </x:row>
    <x:row r="59" ht="22" customHeight="1">
      <x:c r="A59" s="50" t="str">
        <x:v>EX-0054</x:v>
      </x:c>
      <x:c r="B59" s="50" t="str">
        <x:v>IN-0132</x:v>
      </x:c>
      <x:c r="C59" s="50" t="str">
        <x:v>SP-1175</x:v>
      </x:c>
      <x:c r="D59" s="50" t="str">
        <x:v>Part ID</x:v>
      </x:c>
      <x:c r="E59" s="50" t="str">
        <x:v>SP-1175</x:v>
      </x:c>
      <x:c r="F59" s="50" t="str">
        <x:v>DUPLICATE_SKU</x:v>
      </x:c>
      <x:c r="G59" s="50" t="str">
        <x:v>High</x:v>
      </x:c>
      <x:c r="H59" s="50" t="str">
        <x:v>Part number appears in multiple source rows; bin or count may conflict.</x:v>
      </x:c>
      <x:c r="I59" s="50" t="str">
        <x:v>Compare counts and bins; decide merge/retain only with approval.</x:v>
      </x:c>
      <x:c r="J59" s="50" t="str">
        <x:v>OPEN</x:v>
      </x:c>
    </x:row>
    <x:row r="60" ht="22" customHeight="1">
      <x:c r="A60" s="50" t="str">
        <x:v>EX-0055</x:v>
      </x:c>
      <x:c r="B60" s="50" t="str">
        <x:v>IN-0133</x:v>
      </x:c>
      <x:c r="C60" s="50" t="str">
        <x:v>SP-1205</x:v>
      </x:c>
      <x:c r="D60" s="50" t="str">
        <x:v>Part ID</x:v>
      </x:c>
      <x:c r="E60" s="50" t="str">
        <x:v>SP-1205</x:v>
      </x:c>
      <x:c r="F60" s="50" t="str">
        <x:v>DUPLICATE_SKU</x:v>
      </x:c>
      <x:c r="G60" s="50" t="str">
        <x:v>High</x:v>
      </x:c>
      <x:c r="H60" s="50" t="str">
        <x:v>Part number appears in multiple source rows; bin or count may conflict.</x:v>
      </x:c>
      <x:c r="I60" s="50" t="str">
        <x:v>Compare counts and bins; decide merge/retain only with approval.</x:v>
      </x:c>
      <x:c r="J60" s="50" t="str">
        <x:v>OPEN</x:v>
      </x:c>
    </x:row>
  </x:sheetData>
  <x:mergeCells>
    <x:mergeCell ref="A1:J2"/>
    <x:mergeCell ref="A3:J3"/>
  </x:mergeCells>
  <x:conditionalFormatting sqref="G6:G60">
    <x:cfRule type="expression" dxfId="4" priority="1">
      <x:formula>G6="High"</x:formula>
    </x:cfRule>
    <x:cfRule type="expression" dxfId="5" priority="2">
      <x:formula>G6="Medium"</x:formula>
    </x:cfRule>
  </x:conditionalFormatting>
  <x:dataValidations count="1">
    <x:dataValidation type="list" sqref="J6:J60">
      <x:formula1>"OPEN,INVESTIGATING,RESOLVED,NOT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0e0bb3513a4d7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2" hidden="0" customWidth="1"/>
    <x:col min="4" max="4" width="45" hidden="0" customWidth="1"/>
    <x:col min="5" max="5" width="45" hidden="0" customWidth="1"/>
    <x:col min="6" max="6" width="51" hidden="0" customWidth="1"/>
    <x:col min="7" max="7" width="26" hidden="0" customWidth="1"/>
  </x:cols>
  <x:sheetData>
    <x:row r="1" ht="25" customHeight="1">
      <x:c r="A1" s="4" t="str">
        <x:v>CHANGE LOG</x:v>
      </x:c>
      <x:c r="B1" s="4"/>
      <x:c r="C1" s="4"/>
      <x:c r="D1" s="4"/>
      <x:c r="E1" s="4"/>
      <x:c r="F1" s="4"/>
      <x:c r="G1" s="4"/>
    </x:row>
    <x:row r="2" ht="25" customHeight="1">
      <x:c r="A2" s="4"/>
      <x:c r="B2" s="4"/>
      <x:c r="C2" s="4"/>
      <x:c r="D2" s="4"/>
      <x:c r="E2" s="4"/>
      <x:c r="F2" s="4"/>
      <x:c r="G2" s="4"/>
    </x:row>
    <x:row r="3" ht="23" customHeight="1">
      <x:c r="A3" s="10" t="str">
        <x:v>Only deterministic, traceable transformations  •  no unverified part merges or stock adjustments</x:v>
      </x:c>
      <x:c r="B3" s="10"/>
      <x:c r="C3" s="10"/>
      <x:c r="D3" s="10"/>
      <x:c r="E3" s="10"/>
      <x:c r="F3" s="10"/>
      <x:c r="G3" s="10"/>
    </x:row>
    <x:row r="5" ht="35" customHeight="1">
      <x:c r="A5" s="44" t="str">
        <x:v>Change ID</x:v>
      </x:c>
      <x:c r="B5" s="44" t="str">
        <x:v>Source ID</x:v>
      </x:c>
      <x:c r="C5" s="44" t="str">
        <x:v>Field</x:v>
      </x:c>
      <x:c r="D5" s="44" t="str">
        <x:v>Before</x:v>
      </x:c>
      <x:c r="E5" s="44" t="str">
        <x:v>After</x:v>
      </x:c>
      <x:c r="F5" s="44" t="str">
        <x:v>Rule Applied</x:v>
      </x:c>
      <x:c r="G5" s="44" t="str">
        <x:v>Classification</x:v>
      </x:c>
    </x:row>
    <x:row r="6" ht="22" customHeight="1">
      <x:c r="A6" s="50" t="str">
        <x:v>CH-0001</x:v>
      </x:c>
      <x:c r="B6" s="50" t="str">
        <x:v>IN-0001</x:v>
      </x:c>
      <x:c r="C6" s="50" t="str">
        <x:v>Part ID</x:v>
      </x:c>
      <x:c r="D6" s="50" t="str">
        <x:v>SP1101</x:v>
      </x:c>
      <x:c r="E6" s="50" t="str">
        <x:v>SP-1101</x:v>
      </x:c>
      <x:c r="F6" s="50" t="str">
        <x:v>Format recognized SP part code</x:v>
      </x:c>
      <x:c r="G6" s="50" t="str">
        <x:v>SAFE NORMALIZATION</x:v>
      </x:c>
    </x:row>
    <x:row r="7" ht="22" customHeight="1">
      <x:c r="A7" s="50" t="str">
        <x:v>CH-0002</x:v>
      </x:c>
      <x:c r="B7" s="50" t="str">
        <x:v>IN-0001</x:v>
      </x:c>
      <x:c r="C7" s="50" t="str">
        <x:v>Category</x:v>
      </x:c>
      <x:c r="D7" s="50" t="str">
        <x:v>Pwr Trans</x:v>
      </x:c>
      <x:c r="E7" s="50" t="str">
        <x:v>Bearings &amp; Power Transmission</x:v>
      </x:c>
      <x:c r="F7" s="50" t="str">
        <x:v>Map known category synonym</x:v>
      </x:c>
      <x:c r="G7" s="50" t="str">
        <x:v>SAFE NORMALIZATION</x:v>
      </x:c>
    </x:row>
    <x:row r="8" ht="22" customHeight="1">
      <x:c r="A8" s="50" t="str">
        <x:v>CH-0003</x:v>
      </x:c>
      <x:c r="B8" s="50" t="str">
        <x:v>IN-0001</x:v>
      </x:c>
      <x:c r="C8" s="50" t="str">
        <x:v>Unit</x:v>
      </x:c>
      <x:c r="D8" s="50" t="str">
        <x:v>pair</x:v>
      </x:c>
      <x:c r="E8" s="50" t="str">
        <x:v>PAIR</x:v>
      </x:c>
      <x:c r="F8" s="50" t="str">
        <x:v>Map known unit synonym (no quantity conversion)</x:v>
      </x:c>
      <x:c r="G8" s="50" t="str">
        <x:v>SAFE NORMALIZATION</x:v>
      </x:c>
    </x:row>
    <x:row r="9" ht="22" customHeight="1">
      <x:c r="A9" s="50" t="str">
        <x:v>CH-0004</x:v>
      </x:c>
      <x:c r="B9" s="50" t="str">
        <x:v>IN-0002</x:v>
      </x:c>
      <x:c r="C9" s="50" t="str">
        <x:v>Category</x:v>
      </x:c>
      <x:c r="D9" s="50" t="str">
        <x:v>BEARINGS</x:v>
      </x:c>
      <x:c r="E9" s="50" t="str">
        <x:v>Bearings &amp; Power Transmission</x:v>
      </x:c>
      <x:c r="F9" s="50" t="str">
        <x:v>Map known category synonym</x:v>
      </x:c>
      <x:c r="G9" s="50" t="str">
        <x:v>SAFE NORMALIZATION</x:v>
      </x:c>
    </x:row>
    <x:row r="10" ht="22" customHeight="1">
      <x:c r="A10" s="50" t="str">
        <x:v>CH-0005</x:v>
      </x:c>
      <x:c r="B10" s="50" t="str">
        <x:v>IN-0002</x:v>
      </x:c>
      <x:c r="C10" s="50" t="str">
        <x:v>Storage Bin</x:v>
      </x:c>
      <x:c r="D10" s="50" t="str">
        <x:v>wh-c-02-03</x:v>
      </x:c>
      <x:c r="E10" s="50" t="str">
        <x:v>WH-C-02-03</x:v>
      </x:c>
      <x:c r="F10" s="50" t="str">
        <x:v>Expand recognized warehouse bin code</x:v>
      </x:c>
      <x:c r="G10" s="50" t="str">
        <x:v>SAFE NORMALIZATION</x:v>
      </x:c>
    </x:row>
    <x:row r="11" ht="22" customHeight="1">
      <x:c r="A11" s="50" t="str">
        <x:v>CH-0006</x:v>
      </x:c>
      <x:c r="B11" s="50" t="str">
        <x:v>IN-0002</x:v>
      </x:c>
      <x:c r="C11" s="50" t="str">
        <x:v>Unit</x:v>
      </x:c>
      <x:c r="D11" s="50" t="str">
        <x:v>ea</x:v>
      </x:c>
      <x:c r="E11" s="50" t="str">
        <x:v>EA</x:v>
      </x:c>
      <x:c r="F11" s="50" t="str">
        <x:v>Map known unit synonym (no quantity conversion)</x:v>
      </x:c>
      <x:c r="G11" s="50" t="str">
        <x:v>SAFE NORMALIZATION</x:v>
      </x:c>
    </x:row>
    <x:row r="12" ht="22" customHeight="1">
      <x:c r="A12" s="50" t="str">
        <x:v>CH-0007</x:v>
      </x:c>
      <x:c r="B12" s="50" t="str">
        <x:v>IN-0002</x:v>
      </x:c>
      <x:c r="C12" s="50" t="str">
        <x:v>Supplier</x:v>
      </x:c>
      <x:c r="D12" s="50" t="str">
        <x:v>MERIDIAN INDUSTRIAL</x:v>
      </x:c>
      <x:c r="E12" s="50" t="str">
        <x:v>Meridian Industrial</x:v>
      </x:c>
      <x:c r="F12" s="50" t="str">
        <x:v>Map known supplier abbreviation</x:v>
      </x:c>
      <x:c r="G12" s="50" t="str">
        <x:v>SAFE NORMALIZATION</x:v>
      </x:c>
    </x:row>
    <x:row r="13" ht="22" customHeight="1">
      <x:c r="A13" s="50" t="str">
        <x:v>CH-0008</x:v>
      </x:c>
      <x:c r="B13" s="50" t="str">
        <x:v>IN-0003</x:v>
      </x:c>
      <x:c r="C13" s="50" t="str">
        <x:v>Part ID</x:v>
      </x:c>
      <x:c r="D13" s="50" t="str">
        <x:v>sp-1103</x:v>
      </x:c>
      <x:c r="E13" s="50" t="str">
        <x:v>SP-1103</x:v>
      </x:c>
      <x:c r="F13" s="50" t="str">
        <x:v>Format recognized SP part code</x:v>
      </x:c>
      <x:c r="G13" s="50" t="str">
        <x:v>SAFE NORMALIZATION</x:v>
      </x:c>
    </x:row>
    <x:row r="14" ht="22" customHeight="1">
      <x:c r="A14" s="50" t="str">
        <x:v>CH-0009</x:v>
      </x:c>
      <x:c r="B14" s="50" t="str">
        <x:v>IN-0003</x:v>
      </x:c>
      <x:c r="C14" s="50" t="str">
        <x:v>Category</x:v>
      </x:c>
      <x:c r="D14" s="50" t="str">
        <x:v>BEARINGS</x:v>
      </x:c>
      <x:c r="E14" s="50" t="str">
        <x:v>Bearings &amp; Power Transmission</x:v>
      </x:c>
      <x:c r="F14" s="50" t="str">
        <x:v>Map known category synonym</x:v>
      </x:c>
      <x:c r="G14" s="50" t="str">
        <x:v>SAFE NORMALIZATION</x:v>
      </x:c>
    </x:row>
    <x:row r="15" ht="22" customHeight="1">
      <x:c r="A15" s="50" t="str">
        <x:v>CH-0010</x:v>
      </x:c>
      <x:c r="B15" s="50" t="str">
        <x:v>IN-0003</x:v>
      </x:c>
      <x:c r="C15" s="50" t="str">
        <x:v>Storage Bin</x:v>
      </x:c>
      <x:c r="D15" s="50" t="str">
        <x:v>wh-a-01-02</x:v>
      </x:c>
      <x:c r="E15" s="50" t="str">
        <x:v>WH-A-01-02</x:v>
      </x:c>
      <x:c r="F15" s="50" t="str">
        <x:v>Expand recognized warehouse bin code</x:v>
      </x:c>
      <x:c r="G15" s="50" t="str">
        <x:v>SAFE NORMALIZATION</x:v>
      </x:c>
    </x:row>
    <x:row r="16" ht="22" customHeight="1">
      <x:c r="A16" s="50" t="str">
        <x:v>CH-0011</x:v>
      </x:c>
      <x:c r="B16" s="50" t="str">
        <x:v>IN-0003</x:v>
      </x:c>
      <x:c r="C16" s="50" t="str">
        <x:v>Unit</x:v>
      </x:c>
      <x:c r="D16" s="50" t="str">
        <x:v>pcs</x:v>
      </x:c>
      <x:c r="E16" s="50" t="str">
        <x:v>EA</x:v>
      </x:c>
      <x:c r="F16" s="50" t="str">
        <x:v>Map known unit synonym (no quantity conversion)</x:v>
      </x:c>
      <x:c r="G16" s="50" t="str">
        <x:v>SAFE NORMALIZATION</x:v>
      </x:c>
    </x:row>
    <x:row r="17" ht="22" customHeight="1">
      <x:c r="A17" s="50" t="str">
        <x:v>CH-0012</x:v>
      </x:c>
      <x:c r="B17" s="50" t="str">
        <x:v>IN-0003</x:v>
      </x:c>
      <x:c r="C17" s="50" t="str">
        <x:v>Supplier</x:v>
      </x:c>
      <x:c r="D17" s="50" t="str">
        <x:v>NORTH FORGE PARTS</x:v>
      </x:c>
      <x:c r="E17" s="50" t="str">
        <x:v>North Forge Parts</x:v>
      </x:c>
      <x:c r="F17" s="50" t="str">
        <x:v>Map known supplier abbreviation</x:v>
      </x:c>
      <x:c r="G17" s="50" t="str">
        <x:v>SAFE NORMALIZATION</x:v>
      </x:c>
    </x:row>
    <x:row r="18" ht="22" customHeight="1">
      <x:c r="A18" s="50" t="str">
        <x:v>CH-0013</x:v>
      </x:c>
      <x:c r="B18" s="50" t="str">
        <x:v>IN-0004</x:v>
      </x:c>
      <x:c r="C18" s="50" t="str">
        <x:v>Category</x:v>
      </x:c>
      <x:c r="D18" s="50" t="str">
        <x:v>BEARINGS</x:v>
      </x:c>
      <x:c r="E18" s="50" t="str">
        <x:v>Bearings &amp; Power Transmission</x:v>
      </x:c>
      <x:c r="F18" s="50" t="str">
        <x:v>Map known category synonym</x:v>
      </x:c>
      <x:c r="G18" s="50" t="str">
        <x:v>SAFE NORMALIZATION</x:v>
      </x:c>
    </x:row>
    <x:row r="19" ht="22" customHeight="1">
      <x:c r="A19" s="50" t="str">
        <x:v>CH-0014</x:v>
      </x:c>
      <x:c r="B19" s="50" t="str">
        <x:v>IN-0004</x:v>
      </x:c>
      <x:c r="C19" s="50" t="str">
        <x:v>Storage Bin</x:v>
      </x:c>
      <x:c r="D19" s="50" t="str">
        <x:v>C1-01</x:v>
      </x:c>
      <x:c r="E19" s="50" t="str">
        <x:v>WH-C-01-01</x:v>
      </x:c>
      <x:c r="F19" s="50" t="str">
        <x:v>Expand recognized warehouse bin code</x:v>
      </x:c>
      <x:c r="G19" s="50" t="str">
        <x:v>SAFE NORMALIZATION</x:v>
      </x:c>
    </x:row>
    <x:row r="20" ht="22" customHeight="1">
      <x:c r="A20" s="50" t="str">
        <x:v>CH-0015</x:v>
      </x:c>
      <x:c r="B20" s="50" t="str">
        <x:v>IN-0004</x:v>
      </x:c>
      <x:c r="C20" s="50" t="str">
        <x:v>Supplier</x:v>
      </x:c>
      <x:c r="D20" s="50" t="str">
        <x:v>MERIDIAN INDUSTRIAL</x:v>
      </x:c>
      <x:c r="E20" s="50" t="str">
        <x:v>Meridian Industrial</x:v>
      </x:c>
      <x:c r="F20" s="50" t="str">
        <x:v>Map known supplier abbreviation</x:v>
      </x:c>
      <x:c r="G20" s="50" t="str">
        <x:v>SAFE NORMALIZATION</x:v>
      </x:c>
    </x:row>
    <x:row r="21" ht="22" customHeight="1">
      <x:c r="A21" s="50" t="str">
        <x:v>CH-0016</x:v>
      </x:c>
      <x:c r="B21" s="50" t="str">
        <x:v>IN-0005</x:v>
      </x:c>
      <x:c r="C21" s="50" t="str">
        <x:v>Category</x:v>
      </x:c>
      <x:c r="D21" s="50" t="str">
        <x:v>Pwr Trans</x:v>
      </x:c>
      <x:c r="E21" s="50" t="str">
        <x:v>Bearings &amp; Power Transmission</x:v>
      </x:c>
      <x:c r="F21" s="50" t="str">
        <x:v>Map known category synonym</x:v>
      </x:c>
      <x:c r="G21" s="50" t="str">
        <x:v>SAFE NORMALIZATION</x:v>
      </x:c>
    </x:row>
    <x:row r="22" ht="22" customHeight="1">
      <x:c r="A22" s="50" t="str">
        <x:v>CH-0017</x:v>
      </x:c>
      <x:c r="B22" s="50" t="str">
        <x:v>IN-0005</x:v>
      </x:c>
      <x:c r="C22" s="50" t="str">
        <x:v>Supplier</x:v>
      </x:c>
      <x:c r="D22" s="50" t="str">
        <x:v>CANYON EQUIPMENT</x:v>
      </x:c>
      <x:c r="E22" s="50" t="str">
        <x:v>Canyon Equipment</x:v>
      </x:c>
      <x:c r="F22" s="50" t="str">
        <x:v>Map known supplier abbreviation</x:v>
      </x:c>
      <x:c r="G22" s="50" t="str">
        <x:v>SAFE NORMALIZATION</x:v>
      </x:c>
    </x:row>
    <x:row r="23" ht="22" customHeight="1">
      <x:c r="A23" s="50" t="str">
        <x:v>CH-0018</x:v>
      </x:c>
      <x:c r="B23" s="50" t="str">
        <x:v>IN-0006</x:v>
      </x:c>
      <x:c r="C23" s="50" t="str">
        <x:v>Part ID</x:v>
      </x:c>
      <x:c r="D23" s="50" t="str">
        <x:v>SP1106</x:v>
      </x:c>
      <x:c r="E23" s="50" t="str">
        <x:v>SP-1106</x:v>
      </x:c>
      <x:c r="F23" s="50" t="str">
        <x:v>Format recognized SP part code</x:v>
      </x:c>
      <x:c r="G23" s="50" t="str">
        <x:v>SAFE NORMALIZATION</x:v>
      </x:c>
    </x:row>
    <x:row r="24" ht="22" customHeight="1">
      <x:c r="A24" s="50" t="str">
        <x:v>CH-0019</x:v>
      </x:c>
      <x:c r="B24" s="50" t="str">
        <x:v>IN-0006</x:v>
      </x:c>
      <x:c r="C24" s="50" t="str">
        <x:v>Category</x:v>
      </x:c>
      <x:c r="D24" s="50" t="str">
        <x:v>Pwr Trans</x:v>
      </x:c>
      <x:c r="E24" s="50" t="str">
        <x:v>Bearings &amp; Power Transmission</x:v>
      </x:c>
      <x:c r="F24" s="50" t="str">
        <x:v>Map known category synonym</x:v>
      </x:c>
      <x:c r="G24" s="50" t="str">
        <x:v>SAFE NORMALIZATION</x:v>
      </x:c>
    </x:row>
    <x:row r="25" ht="22" customHeight="1">
      <x:c r="A25" s="50" t="str">
        <x:v>CH-0020</x:v>
      </x:c>
      <x:c r="B25" s="50" t="str">
        <x:v>IN-0007</x:v>
      </x:c>
      <x:c r="C25" s="50" t="str">
        <x:v>Part ID</x:v>
      </x:c>
      <x:c r="D25" s="50" t="str">
        <x:v>SP1107</x:v>
      </x:c>
      <x:c r="E25" s="50" t="str">
        <x:v>SP-1107</x:v>
      </x:c>
      <x:c r="F25" s="50" t="str">
        <x:v>Format recognized SP part code</x:v>
      </x:c>
      <x:c r="G25" s="50" t="str">
        <x:v>SAFE NORMALIZATION</x:v>
      </x:c>
    </x:row>
    <x:row r="26" ht="22" customHeight="1">
      <x:c r="A26" s="50" t="str">
        <x:v>CH-0021</x:v>
      </x:c>
      <x:c r="B26" s="50" t="str">
        <x:v>IN-0007</x:v>
      </x:c>
      <x:c r="C26" s="50" t="str">
        <x:v>Category</x:v>
      </x:c>
      <x:c r="D26" s="50" t="str">
        <x:v>BEARINGS</x:v>
      </x:c>
      <x:c r="E26" s="50" t="str">
        <x:v>Bearings &amp; Power Transmission</x:v>
      </x:c>
      <x:c r="F26" s="50" t="str">
        <x:v>Map known category synonym</x:v>
      </x:c>
      <x:c r="G26" s="50" t="str">
        <x:v>SAFE NORMALIZATION</x:v>
      </x:c>
    </x:row>
    <x:row r="27" ht="22" customHeight="1">
      <x:c r="A27" s="50" t="str">
        <x:v>CH-0022</x:v>
      </x:c>
      <x:c r="B27" s="50" t="str">
        <x:v>IN-0007</x:v>
      </x:c>
      <x:c r="C27" s="50" t="str">
        <x:v>Storage Bin</x:v>
      </x:c>
      <x:c r="D27" s="50" t="str">
        <x:v>wh-c-03-04</x:v>
      </x:c>
      <x:c r="E27" s="50" t="str">
        <x:v>WH-C-03-04</x:v>
      </x:c>
      <x:c r="F27" s="50" t="str">
        <x:v>Expand recognized warehouse bin code</x:v>
      </x:c>
      <x:c r="G27" s="50" t="str">
        <x:v>SAFE NORMALIZATION</x:v>
      </x:c>
    </x:row>
    <x:row r="28" ht="22" customHeight="1">
      <x:c r="A28" s="50" t="str">
        <x:v>CH-0023</x:v>
      </x:c>
      <x:c r="B28" s="50" t="str">
        <x:v>IN-0007</x:v>
      </x:c>
      <x:c r="C28" s="50" t="str">
        <x:v>Supplier</x:v>
      </x:c>
      <x:c r="D28" s="50" t="str">
        <x:v>NORTH FORGE PARTS</x:v>
      </x:c>
      <x:c r="E28" s="50" t="str">
        <x:v>North Forge Parts</x:v>
      </x:c>
      <x:c r="F28" s="50" t="str">
        <x:v>Map known supplier abbreviation</x:v>
      </x:c>
      <x:c r="G28" s="50" t="str">
        <x:v>SAFE NORMALIZATION</x:v>
      </x:c>
    </x:row>
    <x:row r="29" ht="22" customHeight="1">
      <x:c r="A29" s="50" t="str">
        <x:v>CH-0024</x:v>
      </x:c>
      <x:c r="B29" s="50" t="str">
        <x:v>IN-0008</x:v>
      </x:c>
      <x:c r="C29" s="50" t="str">
        <x:v>Part Description</x:v>
      </x:c>
      <x:c r="D29" s="50" t="str">
        <x:v> taper lock bushing  -  standard </x:v>
      </x:c>
      <x:c r="E29" s="50" t="str">
        <x:v>taper lock bushing - standard</x:v>
      </x:c>
      <x:c r="F29" s="50" t="str">
        <x:v>Trim and collapse whitespace</x:v>
      </x:c>
      <x:c r="G29" s="50" t="str">
        <x:v>SAFE NORMALIZATION</x:v>
      </x:c>
    </x:row>
    <x:row r="30" ht="22" customHeight="1">
      <x:c r="A30" s="50" t="str">
        <x:v>CH-0025</x:v>
      </x:c>
      <x:c r="B30" s="50" t="str">
        <x:v>IN-0008</x:v>
      </x:c>
      <x:c r="C30" s="50" t="str">
        <x:v>Category</x:v>
      </x:c>
      <x:c r="D30" s="50" t="str">
        <x:v>BEARINGS</x:v>
      </x:c>
      <x:c r="E30" s="50" t="str">
        <x:v>Bearings &amp; Power Transmission</x:v>
      </x:c>
      <x:c r="F30" s="50" t="str">
        <x:v>Map known category synonym</x:v>
      </x:c>
      <x:c r="G30" s="50" t="str">
        <x:v>SAFE NORMALIZATION</x:v>
      </x:c>
    </x:row>
    <x:row r="31" ht="22" customHeight="1">
      <x:c r="A31" s="50" t="str">
        <x:v>CH-0026</x:v>
      </x:c>
      <x:c r="B31" s="50" t="str">
        <x:v>IN-0008</x:v>
      </x:c>
      <x:c r="C31" s="50" t="str">
        <x:v>Unit</x:v>
      </x:c>
      <x:c r="D31" s="50" t="str">
        <x:v>ea</x:v>
      </x:c>
      <x:c r="E31" s="50" t="str">
        <x:v>EA</x:v>
      </x:c>
      <x:c r="F31" s="50" t="str">
        <x:v>Map known unit synonym (no quantity conversion)</x:v>
      </x:c>
      <x:c r="G31" s="50" t="str">
        <x:v>SAFE NORMALIZATION</x:v>
      </x:c>
    </x:row>
    <x:row r="32" ht="22" customHeight="1">
      <x:c r="A32" s="50" t="str">
        <x:v>CH-0027</x:v>
      </x:c>
      <x:c r="B32" s="50" t="str">
        <x:v>IN-0008</x:v>
      </x:c>
      <x:c r="C32" s="50" t="str">
        <x:v>Supplier</x:v>
      </x:c>
      <x:c r="D32" s="50" t="str">
        <x:v>MERIDIAN INDUSTRIAL</x:v>
      </x:c>
      <x:c r="E32" s="50" t="str">
        <x:v>Meridian Industrial</x:v>
      </x:c>
      <x:c r="F32" s="50" t="str">
        <x:v>Map known supplier abbreviation</x:v>
      </x:c>
      <x:c r="G32" s="50" t="str">
        <x:v>SAFE NORMALIZATION</x:v>
      </x:c>
    </x:row>
    <x:row r="33" ht="22" customHeight="1">
      <x:c r="A33" s="50" t="str">
        <x:v>CH-0028</x:v>
      </x:c>
      <x:c r="B33" s="50" t="str">
        <x:v>IN-0009</x:v>
      </x:c>
      <x:c r="C33" s="50" t="str">
        <x:v>Category</x:v>
      </x:c>
      <x:c r="D33" s="50" t="str">
        <x:v>Pwr Trans</x:v>
      </x:c>
      <x:c r="E33" s="50" t="str">
        <x:v>Bearings &amp; Power Transmission</x:v>
      </x:c>
      <x:c r="F33" s="50" t="str">
        <x:v>Map known category synonym</x:v>
      </x:c>
      <x:c r="G33" s="50" t="str">
        <x:v>SAFE NORMALIZATION</x:v>
      </x:c>
    </x:row>
    <x:row r="34" ht="22" customHeight="1">
      <x:c r="A34" s="50" t="str">
        <x:v>CH-0029</x:v>
      </x:c>
      <x:c r="B34" s="50" t="str">
        <x:v>IN-0009</x:v>
      </x:c>
      <x:c r="C34" s="50" t="str">
        <x:v>Supplier</x:v>
      </x:c>
      <x:c r="D34" s="50" t="str">
        <x:v>Meridian Ind.</x:v>
      </x:c>
      <x:c r="E34" s="50" t="str">
        <x:v>Meridian Industrial</x:v>
      </x:c>
      <x:c r="F34" s="50" t="str">
        <x:v>Map known supplier abbreviation</x:v>
      </x:c>
      <x:c r="G34" s="50" t="str">
        <x:v>SAFE NORMALIZATION</x:v>
      </x:c>
    </x:row>
    <x:row r="35" ht="22" customHeight="1">
      <x:c r="A35" s="50" t="str">
        <x:v>CH-0030</x:v>
      </x:c>
      <x:c r="B35" s="50" t="str">
        <x:v>IN-0010</x:v>
      </x:c>
      <x:c r="C35" s="50" t="str">
        <x:v>Category</x:v>
      </x:c>
      <x:c r="D35" s="50" t="str">
        <x:v>BEARINGS</x:v>
      </x:c>
      <x:c r="E35" s="50" t="str">
        <x:v>Bearings &amp; Power Transmission</x:v>
      </x:c>
      <x:c r="F35" s="50" t="str">
        <x:v>Map known category synonym</x:v>
      </x:c>
      <x:c r="G35" s="50" t="str">
        <x:v>SAFE NORMALIZATION</x:v>
      </x:c>
    </x:row>
    <x:row r="36" ht="22" customHeight="1">
      <x:c r="A36" s="50" t="str">
        <x:v>CH-0031</x:v>
      </x:c>
      <x:c r="B36" s="50" t="str">
        <x:v>IN-0010</x:v>
      </x:c>
      <x:c r="C36" s="50" t="str">
        <x:v>Supplier</x:v>
      </x:c>
      <x:c r="D36" s="50" t="str">
        <x:v>Meridian Ind.</x:v>
      </x:c>
      <x:c r="E36" s="50" t="str">
        <x:v>Meridian Industrial</x:v>
      </x:c>
      <x:c r="F36" s="50" t="str">
        <x:v>Map known supplier abbreviation</x:v>
      </x:c>
      <x:c r="G36" s="50" t="str">
        <x:v>SAFE NORMALIZATION</x:v>
      </x:c>
    </x:row>
    <x:row r="37" ht="22" customHeight="1">
      <x:c r="A37" s="50" t="str">
        <x:v>CH-0032</x:v>
      </x:c>
      <x:c r="B37" s="50" t="str">
        <x:v>IN-0011</x:v>
      </x:c>
      <x:c r="C37" s="50" t="str">
        <x:v>Storage Bin</x:v>
      </x:c>
      <x:c r="D37" s="50" t="str">
        <x:v>wh-d-02-02</x:v>
      </x:c>
      <x:c r="E37" s="50" t="str">
        <x:v>WH-D-02-02</x:v>
      </x:c>
      <x:c r="F37" s="50" t="str">
        <x:v>Expand recognized warehouse bin code</x:v>
      </x:c>
      <x:c r="G37" s="50" t="str">
        <x:v>SAFE NORMALIZATION</x:v>
      </x:c>
    </x:row>
    <x:row r="38" ht="22" customHeight="1">
      <x:c r="A38" s="50" t="str">
        <x:v>CH-0033</x:v>
      </x:c>
      <x:c r="B38" s="50" t="str">
        <x:v>IN-0011</x:v>
      </x:c>
      <x:c r="C38" s="50" t="str">
        <x:v>Supplier</x:v>
      </x:c>
      <x:c r="D38" s="50" t="str">
        <x:v>Meridian Ind.</x:v>
      </x:c>
      <x:c r="E38" s="50" t="str">
        <x:v>Meridian Industrial</x:v>
      </x:c>
      <x:c r="F38" s="50" t="str">
        <x:v>Map known supplier abbreviation</x:v>
      </x:c>
      <x:c r="G38" s="50" t="str">
        <x:v>SAFE NORMALIZATION</x:v>
      </x:c>
    </x:row>
    <x:row r="39" ht="22" customHeight="1">
      <x:c r="A39" s="50" t="str">
        <x:v>CH-0034</x:v>
      </x:c>
      <x:c r="B39" s="50" t="str">
        <x:v>IN-0012</x:v>
      </x:c>
      <x:c r="C39" s="50" t="str">
        <x:v>Category</x:v>
      </x:c>
      <x:c r="D39" s="50" t="str">
        <x:v>Pwr Trans</x:v>
      </x:c>
      <x:c r="E39" s="50" t="str">
        <x:v>Bearings &amp; Power Transmission</x:v>
      </x:c>
      <x:c r="F39" s="50" t="str">
        <x:v>Map known category synonym</x:v>
      </x:c>
      <x:c r="G39" s="50" t="str">
        <x:v>SAFE NORMALIZATION</x:v>
      </x:c>
    </x:row>
    <x:row r="40" ht="22" customHeight="1">
      <x:c r="A40" s="50" t="str">
        <x:v>CH-0035</x:v>
      </x:c>
      <x:c r="B40" s="50" t="str">
        <x:v>IN-0012</x:v>
      </x:c>
      <x:c r="C40" s="50" t="str">
        <x:v>Storage Bin</x:v>
      </x:c>
      <x:c r="D40" s="50" t="str">
        <x:v>B2-05</x:v>
      </x:c>
      <x:c r="E40" s="50" t="str">
        <x:v>WH-B-02-05</x:v>
      </x:c>
      <x:c r="F40" s="50" t="str">
        <x:v>Expand recognized warehouse bin code</x:v>
      </x:c>
      <x:c r="G40" s="50" t="str">
        <x:v>SAFE NORMALIZATION</x:v>
      </x:c>
    </x:row>
    <x:row r="41" ht="22" customHeight="1">
      <x:c r="A41" s="50" t="str">
        <x:v>CH-0036</x:v>
      </x:c>
      <x:c r="B41" s="50" t="str">
        <x:v>IN-0012</x:v>
      </x:c>
      <x:c r="C41" s="50" t="str">
        <x:v>Unit</x:v>
      </x:c>
      <x:c r="D41" s="50" t="str">
        <x:v>each</x:v>
      </x:c>
      <x:c r="E41" s="50" t="str">
        <x:v>EA</x:v>
      </x:c>
      <x:c r="F41" s="50" t="str">
        <x:v>Map known unit synonym (no quantity conversion)</x:v>
      </x:c>
      <x:c r="G41" s="50" t="str">
        <x:v>SAFE NORMALIZATION</x:v>
      </x:c>
    </x:row>
    <x:row r="42" ht="22" customHeight="1">
      <x:c r="A42" s="50" t="str">
        <x:v>CH-0037</x:v>
      </x:c>
      <x:c r="B42" s="50" t="str">
        <x:v>IN-0012</x:v>
      </x:c>
      <x:c r="C42" s="50" t="str">
        <x:v>Supplier</x:v>
      </x:c>
      <x:c r="D42" s="50" t="str">
        <x:v>CANYON EQUIPMENT</x:v>
      </x:c>
      <x:c r="E42" s="50" t="str">
        <x:v>Canyon Equipment</x:v>
      </x:c>
      <x:c r="F42" s="50" t="str">
        <x:v>Map known supplier abbreviation</x:v>
      </x:c>
      <x:c r="G42" s="50" t="str">
        <x:v>SAFE NORMALIZATION</x:v>
      </x:c>
    </x:row>
    <x:row r="43" ht="22" customHeight="1">
      <x:c r="A43" s="50" t="str">
        <x:v>CH-0038</x:v>
      </x:c>
      <x:c r="B43" s="50" t="str">
        <x:v>IN-0013</x:v>
      </x:c>
      <x:c r="C43" s="50" t="str">
        <x:v>Category</x:v>
      </x:c>
      <x:c r="D43" s="50" t="str">
        <x:v>CONVEYOR</x:v>
      </x:c>
      <x:c r="E43" s="50" t="str">
        <x:v>Conveyor Systems</x:v>
      </x:c>
      <x:c r="F43" s="50" t="str">
        <x:v>Map known category synonym</x:v>
      </x:c>
      <x:c r="G43" s="50" t="str">
        <x:v>SAFE NORMALIZATION</x:v>
      </x:c>
    </x:row>
    <x:row r="44" ht="22" customHeight="1">
      <x:c r="A44" s="50" t="str">
        <x:v>CH-0039</x:v>
      </x:c>
      <x:c r="B44" s="50" t="str">
        <x:v>IN-0013</x:v>
      </x:c>
      <x:c r="C44" s="50" t="str">
        <x:v>Unit</x:v>
      </x:c>
      <x:c r="D44" s="50" t="str">
        <x:v>pcs</x:v>
      </x:c>
      <x:c r="E44" s="50" t="str">
        <x:v>EA</x:v>
      </x:c>
      <x:c r="F44" s="50" t="str">
        <x:v>Map known unit synonym (no quantity conversion)</x:v>
      </x:c>
      <x:c r="G44" s="50" t="str">
        <x:v>SAFE NORMALIZATION</x:v>
      </x:c>
    </x:row>
    <x:row r="45" ht="22" customHeight="1">
      <x:c r="A45" s="50" t="str">
        <x:v>CH-0040</x:v>
      </x:c>
      <x:c r="B45" s="50" t="str">
        <x:v>IN-0013</x:v>
      </x:c>
      <x:c r="C45" s="50" t="str">
        <x:v>Supplier</x:v>
      </x:c>
      <x:c r="D45" s="50" t="str">
        <x:v>Meridian Ind.</x:v>
      </x:c>
      <x:c r="E45" s="50" t="str">
        <x:v>Meridian Industrial</x:v>
      </x:c>
      <x:c r="F45" s="50" t="str">
        <x:v>Map known supplier abbreviation</x:v>
      </x:c>
      <x:c r="G45" s="50" t="str">
        <x:v>SAFE NORMALIZATION</x:v>
      </x:c>
    </x:row>
    <x:row r="46" ht="22" customHeight="1">
      <x:c r="A46" s="50" t="str">
        <x:v>CH-0041</x:v>
      </x:c>
      <x:c r="B46" s="50" t="str">
        <x:v>IN-0013</x:v>
      </x:c>
      <x:c r="C46" s="50" t="str">
        <x:v>Last Counted</x:v>
      </x:c>
      <x:c r="D46" s="50" t="str">
        <x:v>08/31/2026</x:v>
      </x:c>
      <x:c r="E46" s="50" t="str">
        <x:v>2026-08-31</x:v>
      </x:c>
      <x:c r="F46" s="50" t="str">
        <x:v>Normalize valid calendar date</x:v>
      </x:c>
      <x:c r="G46" s="50" t="str">
        <x:v>SAFE NORMALIZATION</x:v>
      </x:c>
    </x:row>
    <x:row r="47" ht="22" customHeight="1">
      <x:c r="A47" s="50" t="str">
        <x:v>CH-0042</x:v>
      </x:c>
      <x:c r="B47" s="50" t="str">
        <x:v>IN-0014</x:v>
      </x:c>
      <x:c r="C47" s="50" t="str">
        <x:v>Part ID</x:v>
      </x:c>
      <x:c r="D47" s="50" t="str">
        <x:v>sp-1114</x:v>
      </x:c>
      <x:c r="E47" s="50" t="str">
        <x:v>SP-1114</x:v>
      </x:c>
      <x:c r="F47" s="50" t="str">
        <x:v>Format recognized SP part code</x:v>
      </x:c>
      <x:c r="G47" s="50" t="str">
        <x:v>SAFE NORMALIZATION</x:v>
      </x:c>
    </x:row>
    <x:row r="48" ht="22" customHeight="1">
      <x:c r="A48" s="50" t="str">
        <x:v>CH-0043</x:v>
      </x:c>
      <x:c r="B48" s="50" t="str">
        <x:v>IN-0014</x:v>
      </x:c>
      <x:c r="C48" s="50" t="str">
        <x:v>Category</x:v>
      </x:c>
      <x:c r="D48" s="50" t="str">
        <x:v>Conveyors</x:v>
      </x:c>
      <x:c r="E48" s="50" t="str">
        <x:v>Conveyor Systems</x:v>
      </x:c>
      <x:c r="F48" s="50" t="str">
        <x:v>Map known category synonym</x:v>
      </x:c>
      <x:c r="G48" s="50" t="str">
        <x:v>SAFE NORMALIZATION</x:v>
      </x:c>
    </x:row>
    <x:row r="49" ht="22" customHeight="1">
      <x:c r="A49" s="50" t="str">
        <x:v>CH-0044</x:v>
      </x:c>
      <x:c r="B49" s="50" t="str">
        <x:v>IN-0014</x:v>
      </x:c>
      <x:c r="C49" s="50" t="str">
        <x:v>Storage Bin</x:v>
      </x:c>
      <x:c r="D49" s="50" t="str">
        <x:v>C2-03</x:v>
      </x:c>
      <x:c r="E49" s="50" t="str">
        <x:v>WH-C-02-03</x:v>
      </x:c>
      <x:c r="F49" s="50" t="str">
        <x:v>Expand recognized warehouse bin code</x:v>
      </x:c>
      <x:c r="G49" s="50" t="str">
        <x:v>SAFE NORMALIZATION</x:v>
      </x:c>
    </x:row>
    <x:row r="50" ht="22" customHeight="1">
      <x:c r="A50" s="50" t="str">
        <x:v>CH-0045</x:v>
      </x:c>
      <x:c r="B50" s="50" t="str">
        <x:v>IN-0014</x:v>
      </x:c>
      <x:c r="C50" s="50" t="str">
        <x:v>Unit</x:v>
      </x:c>
      <x:c r="D50" s="50" t="str">
        <x:v>ea</x:v>
      </x:c>
      <x:c r="E50" s="50" t="str">
        <x:v>EA</x:v>
      </x:c>
      <x:c r="F50" s="50" t="str">
        <x:v>Map known unit synonym (no quantity conversion)</x:v>
      </x:c>
      <x:c r="G50" s="50" t="str">
        <x:v>SAFE NORMALIZATION</x:v>
      </x:c>
    </x:row>
    <x:row r="51" ht="22" customHeight="1">
      <x:c r="A51" s="50" t="str">
        <x:v>CH-0046</x:v>
      </x:c>
      <x:c r="B51" s="50" t="str">
        <x:v>IN-0014</x:v>
      </x:c>
      <x:c r="C51" s="50" t="str">
        <x:v>Supplier</x:v>
      </x:c>
      <x:c r="D51" s="50" t="str">
        <x:v>Canyon Equip.</x:v>
      </x:c>
      <x:c r="E51" s="50" t="str">
        <x:v>Canyon Equipment</x:v>
      </x:c>
      <x:c r="F51" s="50" t="str">
        <x:v>Map known supplier abbreviation</x:v>
      </x:c>
      <x:c r="G51" s="50" t="str">
        <x:v>SAFE NORMALIZATION</x:v>
      </x:c>
    </x:row>
    <x:row r="52" ht="22" customHeight="1">
      <x:c r="A52" s="50" t="str">
        <x:v>CH-0047</x:v>
      </x:c>
      <x:c r="B52" s="50" t="str">
        <x:v>IN-0015</x:v>
      </x:c>
      <x:c r="C52" s="50" t="str">
        <x:v>Part ID</x:v>
      </x:c>
      <x:c r="D52" s="50" t="str">
        <x:v>SP 1115</x:v>
      </x:c>
      <x:c r="E52" s="50" t="str">
        <x:v>SP-1115</x:v>
      </x:c>
      <x:c r="F52" s="50" t="str">
        <x:v>Format recognized SP part code</x:v>
      </x:c>
      <x:c r="G52" s="50" t="str">
        <x:v>SAFE NORMALIZATION</x:v>
      </x:c>
    </x:row>
    <x:row r="53" ht="22" customHeight="1">
      <x:c r="A53" s="50" t="str">
        <x:v>CH-0048</x:v>
      </x:c>
      <x:c r="B53" s="50" t="str">
        <x:v>IN-0015</x:v>
      </x:c>
      <x:c r="C53" s="50" t="str">
        <x:v>Category</x:v>
      </x:c>
      <x:c r="D53" s="50" t="str">
        <x:v>Conveyors</x:v>
      </x:c>
      <x:c r="E53" s="50" t="str">
        <x:v>Conveyor Systems</x:v>
      </x:c>
      <x:c r="F53" s="50" t="str">
        <x:v>Map known category synonym</x:v>
      </x:c>
      <x:c r="G53" s="50" t="str">
        <x:v>SAFE NORMALIZATION</x:v>
      </x:c>
    </x:row>
    <x:row r="54" ht="22" customHeight="1">
      <x:c r="A54" s="50" t="str">
        <x:v>CH-0049</x:v>
      </x:c>
      <x:c r="B54" s="50" t="str">
        <x:v>IN-0015</x:v>
      </x:c>
      <x:c r="C54" s="50" t="str">
        <x:v>Storage Bin</x:v>
      </x:c>
      <x:c r="D54" s="50" t="str">
        <x:v>A4-04</x:v>
      </x:c>
      <x:c r="E54" s="50" t="str">
        <x:v>WH-A-04-04</x:v>
      </x:c>
      <x:c r="F54" s="50" t="str">
        <x:v>Expand recognized warehouse bin code</x:v>
      </x:c>
      <x:c r="G54" s="50" t="str">
        <x:v>SAFE NORMALIZATION</x:v>
      </x:c>
    </x:row>
    <x:row r="55" ht="22" customHeight="1">
      <x:c r="A55" s="50" t="str">
        <x:v>CH-0050</x:v>
      </x:c>
      <x:c r="B55" s="50" t="str">
        <x:v>IN-0015</x:v>
      </x:c>
      <x:c r="C55" s="50" t="str">
        <x:v>Unit</x:v>
      </x:c>
      <x:c r="D55" s="50" t="str">
        <x:v>ea</x:v>
      </x:c>
      <x:c r="E55" s="50" t="str">
        <x:v>EA</x:v>
      </x:c>
      <x:c r="F55" s="50" t="str">
        <x:v>Map known unit synonym (no quantity conversion)</x:v>
      </x:c>
      <x:c r="G55" s="50" t="str">
        <x:v>SAFE NORMALIZATION</x:v>
      </x:c>
    </x:row>
    <x:row r="56" ht="22" customHeight="1">
      <x:c r="A56" s="50" t="str">
        <x:v>CH-0051</x:v>
      </x:c>
      <x:c r="B56" s="50" t="str">
        <x:v>IN-0015</x:v>
      </x:c>
      <x:c r="C56" s="50" t="str">
        <x:v>Supplier</x:v>
      </x:c>
      <x:c r="D56" s="50" t="str">
        <x:v>CANYON EQUIPMENT</x:v>
      </x:c>
      <x:c r="E56" s="50" t="str">
        <x:v>Canyon Equipment</x:v>
      </x:c>
      <x:c r="F56" s="50" t="str">
        <x:v>Map known supplier abbreviation</x:v>
      </x:c>
      <x:c r="G56" s="50" t="str">
        <x:v>SAFE NORMALIZATION</x:v>
      </x:c>
    </x:row>
    <x:row r="57" ht="22" customHeight="1">
      <x:c r="A57" s="50" t="str">
        <x:v>CH-0052</x:v>
      </x:c>
      <x:c r="B57" s="50" t="str">
        <x:v>IN-0016</x:v>
      </x:c>
      <x:c r="C57" s="50" t="str">
        <x:v>Part Description</x:v>
      </x:c>
      <x:c r="D57" s="50" t="str">
        <x:v> conveyor belt clip  -  standard </x:v>
      </x:c>
      <x:c r="E57" s="50" t="str">
        <x:v>conveyor belt clip - standard</x:v>
      </x:c>
      <x:c r="F57" s="50" t="str">
        <x:v>Trim and collapse whitespace</x:v>
      </x:c>
      <x:c r="G57" s="50" t="str">
        <x:v>SAFE NORMALIZATION</x:v>
      </x:c>
    </x:row>
    <x:row r="58" ht="22" customHeight="1">
      <x:c r="A58" s="50" t="str">
        <x:v>CH-0053</x:v>
      </x:c>
      <x:c r="B58" s="50" t="str">
        <x:v>IN-0016</x:v>
      </x:c>
      <x:c r="C58" s="50" t="str">
        <x:v>Category</x:v>
      </x:c>
      <x:c r="D58" s="50" t="str">
        <x:v>Conveyors</x:v>
      </x:c>
      <x:c r="E58" s="50" t="str">
        <x:v>Conveyor Systems</x:v>
      </x:c>
      <x:c r="F58" s="50" t="str">
        <x:v>Map known category synonym</x:v>
      </x:c>
      <x:c r="G58" s="50" t="str">
        <x:v>SAFE NORMALIZATION</x:v>
      </x:c>
    </x:row>
    <x:row r="59" ht="22" customHeight="1">
      <x:c r="A59" s="50" t="str">
        <x:v>CH-0054</x:v>
      </x:c>
      <x:c r="B59" s="50" t="str">
        <x:v>IN-0016</x:v>
      </x:c>
      <x:c r="C59" s="50" t="str">
        <x:v>Unit</x:v>
      </x:c>
      <x:c r="D59" s="50" t="str">
        <x:v>ea</x:v>
      </x:c>
      <x:c r="E59" s="50" t="str">
        <x:v>EA</x:v>
      </x:c>
      <x:c r="F59" s="50" t="str">
        <x:v>Map known unit synonym (no quantity conversion)</x:v>
      </x:c>
      <x:c r="G59" s="50" t="str">
        <x:v>SAFE NORMALIZATION</x:v>
      </x:c>
    </x:row>
    <x:row r="60" ht="22" customHeight="1">
      <x:c r="A60" s="50" t="str">
        <x:v>CH-0055</x:v>
      </x:c>
      <x:c r="B60" s="50" t="str">
        <x:v>IN-0017</x:v>
      </x:c>
      <x:c r="C60" s="50" t="str">
        <x:v>Category</x:v>
      </x:c>
      <x:c r="D60" s="50" t="str">
        <x:v>Conveyors</x:v>
      </x:c>
      <x:c r="E60" s="50" t="str">
        <x:v>Conveyor Systems</x:v>
      </x:c>
      <x:c r="F60" s="50" t="str">
        <x:v>Map known category synonym</x:v>
      </x:c>
      <x:c r="G60" s="50" t="str">
        <x:v>SAFE NORMALIZATION</x:v>
      </x:c>
    </x:row>
    <x:row r="61" ht="22" customHeight="1">
      <x:c r="A61" s="50" t="str">
        <x:v>CH-0056</x:v>
      </x:c>
      <x:c r="B61" s="50" t="str">
        <x:v>IN-0017</x:v>
      </x:c>
      <x:c r="C61" s="50" t="str">
        <x:v>Storage Bin</x:v>
      </x:c>
      <x:c r="D61" s="50" t="str">
        <x:v>wh-a-02-05</x:v>
      </x:c>
      <x:c r="E61" s="50" t="str">
        <x:v>WH-A-02-05</x:v>
      </x:c>
      <x:c r="F61" s="50" t="str">
        <x:v>Expand recognized warehouse bin code</x:v>
      </x:c>
      <x:c r="G61" s="50" t="str">
        <x:v>SAFE NORMALIZATION</x:v>
      </x:c>
    </x:row>
    <x:row r="62" ht="22" customHeight="1">
      <x:c r="A62" s="50" t="str">
        <x:v>CH-0057</x:v>
      </x:c>
      <x:c r="B62" s="50" t="str">
        <x:v>IN-0017</x:v>
      </x:c>
      <x:c r="C62" s="50" t="str">
        <x:v>Supplier</x:v>
      </x:c>
      <x:c r="D62" s="50" t="str">
        <x:v>N. Forge Parts</x:v>
      </x:c>
      <x:c r="E62" s="50" t="str">
        <x:v>North Forge Parts</x:v>
      </x:c>
      <x:c r="F62" s="50" t="str">
        <x:v>Map known supplier abbreviation</x:v>
      </x:c>
      <x:c r="G62" s="50" t="str">
        <x:v>SAFE NORMALIZATION</x:v>
      </x:c>
    </x:row>
    <x:row r="63" ht="22" customHeight="1">
      <x:c r="A63" s="50" t="str">
        <x:v>CH-0058</x:v>
      </x:c>
      <x:c r="B63" s="50" t="str">
        <x:v>IN-0018</x:v>
      </x:c>
      <x:c r="C63" s="50" t="str">
        <x:v>Part ID</x:v>
      </x:c>
      <x:c r="D63" s="50" t="str">
        <x:v>sp-1118</x:v>
      </x:c>
      <x:c r="E63" s="50" t="str">
        <x:v>SP-1118</x:v>
      </x:c>
      <x:c r="F63" s="50" t="str">
        <x:v>Format recognized SP part code</x:v>
      </x:c>
      <x:c r="G63" s="50" t="str">
        <x:v>SAFE NORMALIZATION</x:v>
      </x:c>
    </x:row>
    <x:row r="64" ht="22" customHeight="1">
      <x:c r="A64" s="50" t="str">
        <x:v>CH-0059</x:v>
      </x:c>
      <x:c r="B64" s="50" t="str">
        <x:v>IN-0018</x:v>
      </x:c>
      <x:c r="C64" s="50" t="str">
        <x:v>Category</x:v>
      </x:c>
      <x:c r="D64" s="50" t="str">
        <x:v>CONVEYOR</x:v>
      </x:c>
      <x:c r="E64" s="50" t="str">
        <x:v>Conveyor Systems</x:v>
      </x:c>
      <x:c r="F64" s="50" t="str">
        <x:v>Map known category synonym</x:v>
      </x:c>
      <x:c r="G64" s="50" t="str">
        <x:v>SAFE NORMALIZATION</x:v>
      </x:c>
    </x:row>
    <x:row r="65" ht="22" customHeight="1">
      <x:c r="A65" s="50" t="str">
        <x:v>CH-0060</x:v>
      </x:c>
      <x:c r="B65" s="50" t="str">
        <x:v>IN-0018</x:v>
      </x:c>
      <x:c r="C65" s="50" t="str">
        <x:v>Supplier</x:v>
      </x:c>
      <x:c r="D65" s="50" t="str">
        <x:v>CANYON EQUIPMENT</x:v>
      </x:c>
      <x:c r="E65" s="50" t="str">
        <x:v>Canyon Equipment</x:v>
      </x:c>
      <x:c r="F65" s="50" t="str">
        <x:v>Map known supplier abbreviation</x:v>
      </x:c>
      <x:c r="G65" s="50" t="str">
        <x:v>SAFE NORMALIZATION</x:v>
      </x:c>
    </x:row>
    <x:row r="66" ht="22" customHeight="1">
      <x:c r="A66" s="50" t="str">
        <x:v>CH-0061</x:v>
      </x:c>
      <x:c r="B66" s="50" t="str">
        <x:v>IN-0019</x:v>
      </x:c>
      <x:c r="C66" s="50" t="str">
        <x:v>Category</x:v>
      </x:c>
      <x:c r="D66" s="50" t="str">
        <x:v>CONVEYOR</x:v>
      </x:c>
      <x:c r="E66" s="50" t="str">
        <x:v>Conveyor Systems</x:v>
      </x:c>
      <x:c r="F66" s="50" t="str">
        <x:v>Map known category synonym</x:v>
      </x:c>
      <x:c r="G66" s="50" t="str">
        <x:v>SAFE NORMALIZATION</x:v>
      </x:c>
    </x:row>
    <x:row r="67" ht="22" customHeight="1">
      <x:c r="A67" s="50" t="str">
        <x:v>CH-0062</x:v>
      </x:c>
      <x:c r="B67" s="50" t="str">
        <x:v>IN-0019</x:v>
      </x:c>
      <x:c r="C67" s="50" t="str">
        <x:v>Unit</x:v>
      </x:c>
      <x:c r="D67" s="50" t="str">
        <x:v>pcs</x:v>
      </x:c>
      <x:c r="E67" s="50" t="str">
        <x:v>EA</x:v>
      </x:c>
      <x:c r="F67" s="50" t="str">
        <x:v>Map known unit synonym (no quantity conversion)</x:v>
      </x:c>
      <x:c r="G67" s="50" t="str">
        <x:v>SAFE NORMALIZATION</x:v>
      </x:c>
    </x:row>
    <x:row r="68" ht="22" customHeight="1">
      <x:c r="A68" s="50" t="str">
        <x:v>CH-0063</x:v>
      </x:c>
      <x:c r="B68" s="50" t="str">
        <x:v>IN-0020</x:v>
      </x:c>
      <x:c r="C68" s="50" t="str">
        <x:v>Part ID</x:v>
      </x:c>
      <x:c r="D68" s="50" t="str">
        <x:v>sp-1120</x:v>
      </x:c>
      <x:c r="E68" s="50" t="str">
        <x:v>SP-1120</x:v>
      </x:c>
      <x:c r="F68" s="50" t="str">
        <x:v>Format recognized SP part code</x:v>
      </x:c>
      <x:c r="G68" s="50" t="str">
        <x:v>SAFE NORMALIZATION</x:v>
      </x:c>
    </x:row>
    <x:row r="69" ht="22" customHeight="1">
      <x:c r="A69" s="50" t="str">
        <x:v>CH-0064</x:v>
      </x:c>
      <x:c r="B69" s="50" t="str">
        <x:v>IN-0020</x:v>
      </x:c>
      <x:c r="C69" s="50" t="str">
        <x:v>Storage Bin</x:v>
      </x:c>
      <x:c r="D69" s="50" t="str">
        <x:v>A2-05</x:v>
      </x:c>
      <x:c r="E69" s="50" t="str">
        <x:v>WH-A-02-05</x:v>
      </x:c>
      <x:c r="F69" s="50" t="str">
        <x:v>Expand recognized warehouse bin code</x:v>
      </x:c>
      <x:c r="G69" s="50" t="str">
        <x:v>SAFE NORMALIZATION</x:v>
      </x:c>
    </x:row>
    <x:row r="70" ht="22" customHeight="1">
      <x:c r="A70" s="50" t="str">
        <x:v>CH-0065</x:v>
      </x:c>
      <x:c r="B70" s="50" t="str">
        <x:v>IN-0020</x:v>
      </x:c>
      <x:c r="C70" s="50" t="str">
        <x:v>Unit</x:v>
      </x:c>
      <x:c r="D70" s="50" t="str">
        <x:v>each</x:v>
      </x:c>
      <x:c r="E70" s="50" t="str">
        <x:v>EA</x:v>
      </x:c>
      <x:c r="F70" s="50" t="str">
        <x:v>Map known unit synonym (no quantity conversion)</x:v>
      </x:c>
      <x:c r="G70" s="50" t="str">
        <x:v>SAFE NORMALIZATION</x:v>
      </x:c>
    </x:row>
    <x:row r="71" ht="22" customHeight="1">
      <x:c r="A71" s="50" t="str">
        <x:v>CH-0066</x:v>
      </x:c>
      <x:c r="B71" s="50" t="str">
        <x:v>IN-0021</x:v>
      </x:c>
      <x:c r="C71" s="50" t="str">
        <x:v>Unit</x:v>
      </x:c>
      <x:c r="D71" s="50" t="str">
        <x:v>pair</x:v>
      </x:c>
      <x:c r="E71" s="50" t="str">
        <x:v>PAIR</x:v>
      </x:c>
      <x:c r="F71" s="50" t="str">
        <x:v>Map known unit synonym (no quantity conversion)</x:v>
      </x:c>
      <x:c r="G71" s="50" t="str">
        <x:v>SAFE NORMALIZATION</x:v>
      </x:c>
    </x:row>
    <x:row r="72" ht="22" customHeight="1">
      <x:c r="A72" s="50" t="str">
        <x:v>CH-0067</x:v>
      </x:c>
      <x:c r="B72" s="50" t="str">
        <x:v>IN-0022</x:v>
      </x:c>
      <x:c r="C72" s="50" t="str">
        <x:v>Unit</x:v>
      </x:c>
      <x:c r="D72" s="50" t="str">
        <x:v>each</x:v>
      </x:c>
      <x:c r="E72" s="50" t="str">
        <x:v>EA</x:v>
      </x:c>
      <x:c r="F72" s="50" t="str">
        <x:v>Map known unit synonym (no quantity conversion)</x:v>
      </x:c>
      <x:c r="G72" s="50" t="str">
        <x:v>SAFE NORMALIZATION</x:v>
      </x:c>
    </x:row>
    <x:row r="73" ht="22" customHeight="1">
      <x:c r="A73" s="50" t="str">
        <x:v>CH-0068</x:v>
      </x:c>
      <x:c r="B73" s="50" t="str">
        <x:v>IN-0022</x:v>
      </x:c>
      <x:c r="C73" s="50" t="str">
        <x:v>Supplier</x:v>
      </x:c>
      <x:c r="D73" s="50" t="str">
        <x:v>REDGATE SUPPLY</x:v>
      </x:c>
      <x:c r="E73" s="50" t="str">
        <x:v>Redgate Supply</x:v>
      </x:c>
      <x:c r="F73" s="50" t="str">
        <x:v>Map known supplier abbreviation</x:v>
      </x:c>
      <x:c r="G73" s="50" t="str">
        <x:v>SAFE NORMALIZATION</x:v>
      </x:c>
    </x:row>
    <x:row r="74" ht="22" customHeight="1">
      <x:c r="A74" s="50" t="str">
        <x:v>CH-0069</x:v>
      </x:c>
      <x:c r="B74" s="50" t="str">
        <x:v>IN-0023</x:v>
      </x:c>
      <x:c r="C74" s="50" t="str">
        <x:v>Category</x:v>
      </x:c>
      <x:c r="D74" s="50" t="str">
        <x:v>Conveyors</x:v>
      </x:c>
      <x:c r="E74" s="50" t="str">
        <x:v>Conveyor Systems</x:v>
      </x:c>
      <x:c r="F74" s="50" t="str">
        <x:v>Map known category synonym</x:v>
      </x:c>
      <x:c r="G74" s="50" t="str">
        <x:v>SAFE NORMALIZATION</x:v>
      </x:c>
    </x:row>
    <x:row r="75" ht="22" customHeight="1">
      <x:c r="A75" s="50" t="str">
        <x:v>CH-0070</x:v>
      </x:c>
      <x:c r="B75" s="50" t="str">
        <x:v>IN-0023</x:v>
      </x:c>
      <x:c r="C75" s="50" t="str">
        <x:v>Unit</x:v>
      </x:c>
      <x:c r="D75" s="50" t="str">
        <x:v>ft</x:v>
      </x:c>
      <x:c r="E75" s="50" t="str">
        <x:v>FT</x:v>
      </x:c>
      <x:c r="F75" s="50" t="str">
        <x:v>Map known unit synonym (no quantity conversion)</x:v>
      </x:c>
      <x:c r="G75" s="50" t="str">
        <x:v>SAFE NORMALIZATION</x:v>
      </x:c>
    </x:row>
    <x:row r="76" ht="22" customHeight="1">
      <x:c r="A76" s="50" t="str">
        <x:v>CH-0071</x:v>
      </x:c>
      <x:c r="B76" s="50" t="str">
        <x:v>IN-0023</x:v>
      </x:c>
      <x:c r="C76" s="50" t="str">
        <x:v>Supplier</x:v>
      </x:c>
      <x:c r="D76" s="50" t="str">
        <x:v>Meridian Ind.</x:v>
      </x:c>
      <x:c r="E76" s="50" t="str">
        <x:v>Meridian Industrial</x:v>
      </x:c>
      <x:c r="F76" s="50" t="str">
        <x:v>Map known supplier abbreviation</x:v>
      </x:c>
      <x:c r="G76" s="50" t="str">
        <x:v>SAFE NORMALIZATION</x:v>
      </x:c>
    </x:row>
    <x:row r="77" ht="22" customHeight="1">
      <x:c r="A77" s="50" t="str">
        <x:v>CH-0072</x:v>
      </x:c>
      <x:c r="B77" s="50" t="str">
        <x:v>IN-0024</x:v>
      </x:c>
      <x:c r="C77" s="50" t="str">
        <x:v>Part ID</x:v>
      </x:c>
      <x:c r="D77" s="50" t="str">
        <x:v>SP 1124</x:v>
      </x:c>
      <x:c r="E77" s="50" t="str">
        <x:v>SP-1124</x:v>
      </x:c>
      <x:c r="F77" s="50" t="str">
        <x:v>Format recognized SP part code</x:v>
      </x:c>
      <x:c r="G77" s="50" t="str">
        <x:v>SAFE NORMALIZATION</x:v>
      </x:c>
    </x:row>
    <x:row r="78" ht="22" customHeight="1">
      <x:c r="A78" s="50" t="str">
        <x:v>CH-0073</x:v>
      </x:c>
      <x:c r="B78" s="50" t="str">
        <x:v>IN-0024</x:v>
      </x:c>
      <x:c r="C78" s="50" t="str">
        <x:v>Part Description</x:v>
      </x:c>
      <x:c r="D78" s="50" t="str">
        <x:v> splice plate  -  metric </x:v>
      </x:c>
      <x:c r="E78" s="50" t="str">
        <x:v>splice plate - metric</x:v>
      </x:c>
      <x:c r="F78" s="50" t="str">
        <x:v>Trim and collapse whitespace</x:v>
      </x:c>
      <x:c r="G78" s="50" t="str">
        <x:v>SAFE NORMALIZATION</x:v>
      </x:c>
    </x:row>
    <x:row r="79" ht="22" customHeight="1">
      <x:c r="A79" s="50" t="str">
        <x:v>CH-0074</x:v>
      </x:c>
      <x:c r="B79" s="50" t="str">
        <x:v>IN-0024</x:v>
      </x:c>
      <x:c r="C79" s="50" t="str">
        <x:v>Category</x:v>
      </x:c>
      <x:c r="D79" s="50" t="str">
        <x:v>CONVEYOR</x:v>
      </x:c>
      <x:c r="E79" s="50" t="str">
        <x:v>Conveyor Systems</x:v>
      </x:c>
      <x:c r="F79" s="50" t="str">
        <x:v>Map known category synonym</x:v>
      </x:c>
      <x:c r="G79" s="50" t="str">
        <x:v>SAFE NORMALIZATION</x:v>
      </x:c>
    </x:row>
    <x:row r="80" ht="22" customHeight="1">
      <x:c r="A80" s="50" t="str">
        <x:v>CH-0075</x:v>
      </x:c>
      <x:c r="B80" s="50" t="str">
        <x:v>IN-0024</x:v>
      </x:c>
      <x:c r="C80" s="50" t="str">
        <x:v>Unit</x:v>
      </x:c>
      <x:c r="D80" s="50" t="str">
        <x:v>pcs</x:v>
      </x:c>
      <x:c r="E80" s="50" t="str">
        <x:v>EA</x:v>
      </x:c>
      <x:c r="F80" s="50" t="str">
        <x:v>Map known unit synonym (no quantity conversion)</x:v>
      </x:c>
      <x:c r="G80" s="50" t="str">
        <x:v>SAFE NORMALIZATION</x:v>
      </x:c>
    </x:row>
    <x:row r="81" ht="22" customHeight="1">
      <x:c r="A81" s="50" t="str">
        <x:v>CH-0076</x:v>
      </x:c>
      <x:c r="B81" s="50" t="str">
        <x:v>IN-0024</x:v>
      </x:c>
      <x:c r="C81" s="50" t="str">
        <x:v>Supplier</x:v>
      </x:c>
      <x:c r="D81" s="50" t="str">
        <x:v>Canyon Equip.</x:v>
      </x:c>
      <x:c r="E81" s="50" t="str">
        <x:v>Canyon Equipment</x:v>
      </x:c>
      <x:c r="F81" s="50" t="str">
        <x:v>Map known supplier abbreviation</x:v>
      </x:c>
      <x:c r="G81" s="50" t="str">
        <x:v>SAFE NORMALIZATION</x:v>
      </x:c>
    </x:row>
    <x:row r="82" ht="22" customHeight="1">
      <x:c r="A82" s="50" t="str">
        <x:v>CH-0077</x:v>
      </x:c>
      <x:c r="B82" s="50" t="str">
        <x:v>IN-0025</x:v>
      </x:c>
      <x:c r="C82" s="50" t="str">
        <x:v>Part ID</x:v>
      </x:c>
      <x:c r="D82" s="50" t="str">
        <x:v>SP 1125</x:v>
      </x:c>
      <x:c r="E82" s="50" t="str">
        <x:v>SP-1125</x:v>
      </x:c>
      <x:c r="F82" s="50" t="str">
        <x:v>Format recognized SP part code</x:v>
      </x:c>
      <x:c r="G82" s="50" t="str">
        <x:v>SAFE NORMALIZATION</x:v>
      </x:c>
    </x:row>
    <x:row r="83" ht="22" customHeight="1">
      <x:c r="A83" s="50" t="str">
        <x:v>CH-0078</x:v>
      </x:c>
      <x:c r="B83" s="50" t="str">
        <x:v>IN-0025</x:v>
      </x:c>
      <x:c r="C83" s="50" t="str">
        <x:v>Unit</x:v>
      </x:c>
      <x:c r="D83" s="50" t="str">
        <x:v>each</x:v>
      </x:c>
      <x:c r="E83" s="50" t="str">
        <x:v>EA</x:v>
      </x:c>
      <x:c r="F83" s="50" t="str">
        <x:v>Map known unit synonym (no quantity conversion)</x:v>
      </x:c>
      <x:c r="G83" s="50" t="str">
        <x:v>SAFE NORMALIZATION</x:v>
      </x:c>
    </x:row>
    <x:row r="84" ht="22" customHeight="1">
      <x:c r="A84" s="50" t="str">
        <x:v>CH-0079</x:v>
      </x:c>
      <x:c r="B84" s="50" t="str">
        <x:v>IN-0026</x:v>
      </x:c>
      <x:c r="C84" s="50" t="str">
        <x:v>Part ID</x:v>
      </x:c>
      <x:c r="D84" s="50" t="str">
        <x:v>sp-1126</x:v>
      </x:c>
      <x:c r="E84" s="50" t="str">
        <x:v>SP-1126</x:v>
      </x:c>
      <x:c r="F84" s="50" t="str">
        <x:v>Format recognized SP part code</x:v>
      </x:c>
      <x:c r="G84" s="50" t="str">
        <x:v>SAFE NORMALIZATION</x:v>
      </x:c>
    </x:row>
    <x:row r="85" ht="22" customHeight="1">
      <x:c r="A85" s="50" t="str">
        <x:v>CH-0080</x:v>
      </x:c>
      <x:c r="B85" s="50" t="str">
        <x:v>IN-0026</x:v>
      </x:c>
      <x:c r="C85" s="50" t="str">
        <x:v>Category</x:v>
      </x:c>
      <x:c r="D85" s="50" t="str">
        <x:v>HYD</x:v>
      </x:c>
      <x:c r="E85" s="50" t="str">
        <x:v>Hydraulics</x:v>
      </x:c>
      <x:c r="F85" s="50" t="str">
        <x:v>Map known category synonym</x:v>
      </x:c>
      <x:c r="G85" s="50" t="str">
        <x:v>SAFE NORMALIZATION</x:v>
      </x:c>
    </x:row>
    <x:row r="86" ht="22" customHeight="1">
      <x:c r="A86" s="50" t="str">
        <x:v>CH-0081</x:v>
      </x:c>
      <x:c r="B86" s="50" t="str">
        <x:v>IN-0026</x:v>
      </x:c>
      <x:c r="C86" s="50" t="str">
        <x:v>Storage Bin</x:v>
      </x:c>
      <x:c r="D86" s="50" t="str">
        <x:v>B2-05</x:v>
      </x:c>
      <x:c r="E86" s="50" t="str">
        <x:v>WH-B-02-05</x:v>
      </x:c>
      <x:c r="F86" s="50" t="str">
        <x:v>Expand recognized warehouse bin code</x:v>
      </x:c>
      <x:c r="G86" s="50" t="str">
        <x:v>SAFE NORMALIZATION</x:v>
      </x:c>
    </x:row>
    <x:row r="87" ht="22" customHeight="1">
      <x:c r="A87" s="50" t="str">
        <x:v>CH-0082</x:v>
      </x:c>
      <x:c r="B87" s="50" t="str">
        <x:v>IN-0026</x:v>
      </x:c>
      <x:c r="C87" s="50" t="str">
        <x:v>Supplier</x:v>
      </x:c>
      <x:c r="D87" s="50" t="str">
        <x:v>MERIDIAN INDUSTRIAL</x:v>
      </x:c>
      <x:c r="E87" s="50" t="str">
        <x:v>Meridian Industrial</x:v>
      </x:c>
      <x:c r="F87" s="50" t="str">
        <x:v>Map known supplier abbreviation</x:v>
      </x:c>
      <x:c r="G87" s="50" t="str">
        <x:v>SAFE NORMALIZATION</x:v>
      </x:c>
    </x:row>
    <x:row r="88" ht="22" customHeight="1">
      <x:c r="A88" s="50" t="str">
        <x:v>CH-0083</x:v>
      </x:c>
      <x:c r="B88" s="50" t="str">
        <x:v>IN-0026</x:v>
      </x:c>
      <x:c r="C88" s="50" t="str">
        <x:v>Last Counted</x:v>
      </x:c>
      <x:c r="D88" s="50" t="str">
        <x:v>08/06/2026</x:v>
      </x:c>
      <x:c r="E88" s="50" t="str">
        <x:v>2026-08-06</x:v>
      </x:c>
      <x:c r="F88" s="50" t="str">
        <x:v>Normalize valid calendar date</x:v>
      </x:c>
      <x:c r="G88" s="50" t="str">
        <x:v>SAFE NORMALIZATION</x:v>
      </x:c>
    </x:row>
    <x:row r="89" ht="22" customHeight="1">
      <x:c r="A89" s="50" t="str">
        <x:v>CH-0084</x:v>
      </x:c>
      <x:c r="B89" s="50" t="str">
        <x:v>IN-0027</x:v>
      </x:c>
      <x:c r="C89" s="50" t="str">
        <x:v>Part ID</x:v>
      </x:c>
      <x:c r="D89" s="50" t="str">
        <x:v>SP1127</x:v>
      </x:c>
      <x:c r="E89" s="50" t="str">
        <x:v>SP-1127</x:v>
      </x:c>
      <x:c r="F89" s="50" t="str">
        <x:v>Format recognized SP part code</x:v>
      </x:c>
      <x:c r="G89" s="50" t="str">
        <x:v>SAFE NORMALIZATION</x:v>
      </x:c>
    </x:row>
    <x:row r="90" ht="22" customHeight="1">
      <x:c r="A90" s="50" t="str">
        <x:v>CH-0085</x:v>
      </x:c>
      <x:c r="B90" s="50" t="str">
        <x:v>IN-0027</x:v>
      </x:c>
      <x:c r="C90" s="50" t="str">
        <x:v>Storage Bin</x:v>
      </x:c>
      <x:c r="D90" s="50" t="str">
        <x:v>A2-04</x:v>
      </x:c>
      <x:c r="E90" s="50" t="str">
        <x:v>WH-A-02-04</x:v>
      </x:c>
      <x:c r="F90" s="50" t="str">
        <x:v>Expand recognized warehouse bin code</x:v>
      </x:c>
      <x:c r="G90" s="50" t="str">
        <x:v>SAFE NORMALIZATION</x:v>
      </x:c>
    </x:row>
    <x:row r="91" ht="22" customHeight="1">
      <x:c r="A91" s="50" t="str">
        <x:v>CH-0086</x:v>
      </x:c>
      <x:c r="B91" s="50" t="str">
        <x:v>IN-0027</x:v>
      </x:c>
      <x:c r="C91" s="50" t="str">
        <x:v>Unit</x:v>
      </x:c>
      <x:c r="D91" s="50" t="str">
        <x:v>pair</x:v>
      </x:c>
      <x:c r="E91" s="50" t="str">
        <x:v>PAIR</x:v>
      </x:c>
      <x:c r="F91" s="50" t="str">
        <x:v>Map known unit synonym (no quantity conversion)</x:v>
      </x:c>
      <x:c r="G91" s="50" t="str">
        <x:v>SAFE NORMALIZATION</x:v>
      </x:c>
    </x:row>
    <x:row r="92" ht="22" customHeight="1">
      <x:c r="A92" s="50" t="str">
        <x:v>CH-0087</x:v>
      </x:c>
      <x:c r="B92" s="50" t="str">
        <x:v>IN-0027</x:v>
      </x:c>
      <x:c r="C92" s="50" t="str">
        <x:v>Supplier</x:v>
      </x:c>
      <x:c r="D92" s="50" t="str">
        <x:v>Meridian Ind.</x:v>
      </x:c>
      <x:c r="E92" s="50" t="str">
        <x:v>Meridian Industrial</x:v>
      </x:c>
      <x:c r="F92" s="50" t="str">
        <x:v>Map known supplier abbreviation</x:v>
      </x:c>
      <x:c r="G92" s="50" t="str">
        <x:v>SAFE NORMALIZATION</x:v>
      </x:c>
    </x:row>
    <x:row r="93" ht="22" customHeight="1">
      <x:c r="A93" s="50" t="str">
        <x:v>CH-0088</x:v>
      </x:c>
      <x:c r="B93" s="50" t="str">
        <x:v>IN-0028</x:v>
      </x:c>
      <x:c r="C93" s="50" t="str">
        <x:v>Part ID</x:v>
      </x:c>
      <x:c r="D93" s="50" t="str">
        <x:v>SP1128</x:v>
      </x:c>
      <x:c r="E93" s="50" t="str">
        <x:v>SP-1128</x:v>
      </x:c>
      <x:c r="F93" s="50" t="str">
        <x:v>Format recognized SP part code</x:v>
      </x:c>
      <x:c r="G93" s="50" t="str">
        <x:v>SAFE NORMALIZATION</x:v>
      </x:c>
    </x:row>
    <x:row r="94" ht="22" customHeight="1">
      <x:c r="A94" s="50" t="str">
        <x:v>CH-0089</x:v>
      </x:c>
      <x:c r="B94" s="50" t="str">
        <x:v>IN-0028</x:v>
      </x:c>
      <x:c r="C94" s="50" t="str">
        <x:v>Category</x:v>
      </x:c>
      <x:c r="D94" s="50" t="str">
        <x:v>HYD</x:v>
      </x:c>
      <x:c r="E94" s="50" t="str">
        <x:v>Hydraulics</x:v>
      </x:c>
      <x:c r="F94" s="50" t="str">
        <x:v>Map known category synonym</x:v>
      </x:c>
      <x:c r="G94" s="50" t="str">
        <x:v>SAFE NORMALIZATION</x:v>
      </x:c>
    </x:row>
    <x:row r="95" ht="22" customHeight="1">
      <x:c r="A95" s="50" t="str">
        <x:v>CH-0090</x:v>
      </x:c>
      <x:c r="B95" s="50" t="str">
        <x:v>IN-0028</x:v>
      </x:c>
      <x:c r="C95" s="50" t="str">
        <x:v>Storage Bin</x:v>
      </x:c>
      <x:c r="D95" s="50" t="str">
        <x:v>wh-d-01-05</x:v>
      </x:c>
      <x:c r="E95" s="50" t="str">
        <x:v>WH-D-01-05</x:v>
      </x:c>
      <x:c r="F95" s="50" t="str">
        <x:v>Expand recognized warehouse bin code</x:v>
      </x:c>
      <x:c r="G95" s="50" t="str">
        <x:v>SAFE NORMALIZATION</x:v>
      </x:c>
    </x:row>
    <x:row r="96" ht="22" customHeight="1">
      <x:c r="A96" s="50" t="str">
        <x:v>CH-0091</x:v>
      </x:c>
      <x:c r="B96" s="50" t="str">
        <x:v>IN-0029</x:v>
      </x:c>
      <x:c r="C96" s="50" t="str">
        <x:v>Part ID</x:v>
      </x:c>
      <x:c r="D96" s="50" t="str">
        <x:v>sp-1129</x:v>
      </x:c>
      <x:c r="E96" s="50" t="str">
        <x:v>SP-1129</x:v>
      </x:c>
      <x:c r="F96" s="50" t="str">
        <x:v>Format recognized SP part code</x:v>
      </x:c>
      <x:c r="G96" s="50" t="str">
        <x:v>SAFE NORMALIZATION</x:v>
      </x:c>
    </x:row>
    <x:row r="97" ht="22" customHeight="1">
      <x:c r="A97" s="50" t="str">
        <x:v>CH-0092</x:v>
      </x:c>
      <x:c r="B97" s="50" t="str">
        <x:v>IN-0029</x:v>
      </x:c>
      <x:c r="C97" s="50" t="str">
        <x:v>Storage Bin</x:v>
      </x:c>
      <x:c r="D97" s="50" t="str">
        <x:v>wh-b-04-02</x:v>
      </x:c>
      <x:c r="E97" s="50" t="str">
        <x:v>WH-B-04-02</x:v>
      </x:c>
      <x:c r="F97" s="50" t="str">
        <x:v>Expand recognized warehouse bin code</x:v>
      </x:c>
      <x:c r="G97" s="50" t="str">
        <x:v>SAFE NORMALIZATION</x:v>
      </x:c>
    </x:row>
    <x:row r="98" ht="22" customHeight="1">
      <x:c r="A98" s="50" t="str">
        <x:v>CH-0093</x:v>
      </x:c>
      <x:c r="B98" s="50" t="str">
        <x:v>IN-0029</x:v>
      </x:c>
      <x:c r="C98" s="50" t="str">
        <x:v>Unit</x:v>
      </x:c>
      <x:c r="D98" s="50" t="str">
        <x:v>each</x:v>
      </x:c>
      <x:c r="E98" s="50" t="str">
        <x:v>EA</x:v>
      </x:c>
      <x:c r="F98" s="50" t="str">
        <x:v>Map known unit synonym (no quantity conversion)</x:v>
      </x:c>
      <x:c r="G98" s="50" t="str">
        <x:v>SAFE NORMALIZATION</x:v>
      </x:c>
    </x:row>
    <x:row r="99" ht="22" customHeight="1">
      <x:c r="A99" s="50" t="str">
        <x:v>CH-0094</x:v>
      </x:c>
      <x:c r="B99" s="50" t="str">
        <x:v>IN-0029</x:v>
      </x:c>
      <x:c r="C99" s="50" t="str">
        <x:v>Supplier</x:v>
      </x:c>
      <x:c r="D99" s="50" t="str">
        <x:v>CANYON EQUIPMENT</x:v>
      </x:c>
      <x:c r="E99" s="50" t="str">
        <x:v>Canyon Equipment</x:v>
      </x:c>
      <x:c r="F99" s="50" t="str">
        <x:v>Map known supplier abbreviation</x:v>
      </x:c>
      <x:c r="G99" s="50" t="str">
        <x:v>SAFE NORMALIZATION</x:v>
      </x:c>
    </x:row>
    <x:row r="100" ht="22" customHeight="1">
      <x:c r="A100" s="50" t="str">
        <x:v>CH-0095</x:v>
      </x:c>
      <x:c r="B100" s="50" t="str">
        <x:v>IN-0030</x:v>
      </x:c>
      <x:c r="C100" s="50" t="str">
        <x:v>Part ID</x:v>
      </x:c>
      <x:c r="D100" s="50" t="str">
        <x:v>SP1130</x:v>
      </x:c>
      <x:c r="E100" s="50" t="str">
        <x:v>SP-1130</x:v>
      </x:c>
      <x:c r="F100" s="50" t="str">
        <x:v>Format recognized SP part code</x:v>
      </x:c>
      <x:c r="G100" s="50" t="str">
        <x:v>SAFE NORMALIZATION</x:v>
      </x:c>
    </x:row>
    <x:row r="101" ht="22" customHeight="1">
      <x:c r="A101" s="50" t="str">
        <x:v>CH-0096</x:v>
      </x:c>
      <x:c r="B101" s="50" t="str">
        <x:v>IN-0030</x:v>
      </x:c>
      <x:c r="C101" s="50" t="str">
        <x:v>Category</x:v>
      </x:c>
      <x:c r="D101" s="50" t="str">
        <x:v>HYD</x:v>
      </x:c>
      <x:c r="E101" s="50" t="str">
        <x:v>Hydraulics</x:v>
      </x:c>
      <x:c r="F101" s="50" t="str">
        <x:v>Map known category synonym</x:v>
      </x:c>
      <x:c r="G101" s="50" t="str">
        <x:v>SAFE NORMALIZATION</x:v>
      </x:c>
    </x:row>
    <x:row r="102" ht="22" customHeight="1">
      <x:c r="A102" s="50" t="str">
        <x:v>CH-0097</x:v>
      </x:c>
      <x:c r="B102" s="50" t="str">
        <x:v>IN-0030</x:v>
      </x:c>
      <x:c r="C102" s="50" t="str">
        <x:v>Storage Bin</x:v>
      </x:c>
      <x:c r="D102" s="50" t="str">
        <x:v>A3-02</x:v>
      </x:c>
      <x:c r="E102" s="50" t="str">
        <x:v>WH-A-03-02</x:v>
      </x:c>
      <x:c r="F102" s="50" t="str">
        <x:v>Expand recognized warehouse bin code</x:v>
      </x:c>
      <x:c r="G102" s="50" t="str">
        <x:v>SAFE NORMALIZATION</x:v>
      </x:c>
    </x:row>
    <x:row r="103" ht="22" customHeight="1">
      <x:c r="A103" s="50" t="str">
        <x:v>CH-0098</x:v>
      </x:c>
      <x:c r="B103" s="50" t="str">
        <x:v>IN-0030</x:v>
      </x:c>
      <x:c r="C103" s="50" t="str">
        <x:v>Unit</x:v>
      </x:c>
      <x:c r="D103" s="50" t="str">
        <x:v>ea</x:v>
      </x:c>
      <x:c r="E103" s="50" t="str">
        <x:v>EA</x:v>
      </x:c>
      <x:c r="F103" s="50" t="str">
        <x:v>Map known unit synonym (no quantity conversion)</x:v>
      </x:c>
      <x:c r="G103" s="50" t="str">
        <x:v>SAFE NORMALIZATION</x:v>
      </x:c>
    </x:row>
    <x:row r="104" ht="22" customHeight="1">
      <x:c r="A104" s="50" t="str">
        <x:v>CH-0099</x:v>
      </x:c>
      <x:c r="B104" s="50" t="str">
        <x:v>IN-0031</x:v>
      </x:c>
      <x:c r="C104" s="50" t="str">
        <x:v>Part ID</x:v>
      </x:c>
      <x:c r="D104" s="50" t="str">
        <x:v>sp-1131</x:v>
      </x:c>
      <x:c r="E104" s="50" t="str">
        <x:v>SP-1131</x:v>
      </x:c>
      <x:c r="F104" s="50" t="str">
        <x:v>Format recognized SP part code</x:v>
      </x:c>
      <x:c r="G104" s="50" t="str">
        <x:v>SAFE NORMALIZATION</x:v>
      </x:c>
    </x:row>
    <x:row r="105" ht="22" customHeight="1">
      <x:c r="A105" s="50" t="str">
        <x:v>CH-0100</x:v>
      </x:c>
      <x:c r="B105" s="50" t="str">
        <x:v>IN-0031</x:v>
      </x:c>
      <x:c r="C105" s="50" t="str">
        <x:v>Storage Bin</x:v>
      </x:c>
      <x:c r="D105" s="50" t="str">
        <x:v>A1-02</x:v>
      </x:c>
      <x:c r="E105" s="50" t="str">
        <x:v>WH-A-01-02</x:v>
      </x:c>
      <x:c r="F105" s="50" t="str">
        <x:v>Expand recognized warehouse bin code</x:v>
      </x:c>
      <x:c r="G105" s="50" t="str">
        <x:v>SAFE NORMALIZATION</x:v>
      </x:c>
    </x:row>
    <x:row r="106" ht="22" customHeight="1">
      <x:c r="A106" s="50" t="str">
        <x:v>CH-0101</x:v>
      </x:c>
      <x:c r="B106" s="50" t="str">
        <x:v>IN-0031</x:v>
      </x:c>
      <x:c r="C106" s="50" t="str">
        <x:v>Unit</x:v>
      </x:c>
      <x:c r="D106" s="50" t="str">
        <x:v>pair</x:v>
      </x:c>
      <x:c r="E106" s="50" t="str">
        <x:v>PAIR</x:v>
      </x:c>
      <x:c r="F106" s="50" t="str">
        <x:v>Map known unit synonym (no quantity conversion)</x:v>
      </x:c>
      <x:c r="G106" s="50" t="str">
        <x:v>SAFE NORMALIZATION</x:v>
      </x:c>
    </x:row>
    <x:row r="107" ht="22" customHeight="1">
      <x:c r="A107" s="50" t="str">
        <x:v>CH-0102</x:v>
      </x:c>
      <x:c r="B107" s="50" t="str">
        <x:v>IN-0031</x:v>
      </x:c>
      <x:c r="C107" s="50" t="str">
        <x:v>Supplier</x:v>
      </x:c>
      <x:c r="D107" s="50" t="str">
        <x:v>Canyon Equip.</x:v>
      </x:c>
      <x:c r="E107" s="50" t="str">
        <x:v>Canyon Equipment</x:v>
      </x:c>
      <x:c r="F107" s="50" t="str">
        <x:v>Map known supplier abbreviation</x:v>
      </x:c>
      <x:c r="G107" s="50" t="str">
        <x:v>SAFE NORMALIZATION</x:v>
      </x:c>
    </x:row>
    <x:row r="108" ht="22" customHeight="1">
      <x:c r="A108" s="50" t="str">
        <x:v>CH-0103</x:v>
      </x:c>
      <x:c r="B108" s="50" t="str">
        <x:v>IN-0032</x:v>
      </x:c>
      <x:c r="C108" s="50" t="str">
        <x:v>Part Description</x:v>
      </x:c>
      <x:c r="D108" s="50" t="str">
        <x:v> relief valve  -  standard </x:v>
      </x:c>
      <x:c r="E108" s="50" t="str">
        <x:v>relief valve - standard</x:v>
      </x:c>
      <x:c r="F108" s="50" t="str">
        <x:v>Trim and collapse whitespace</x:v>
      </x:c>
      <x:c r="G108" s="50" t="str">
        <x:v>SAFE NORMALIZATION</x:v>
      </x:c>
    </x:row>
    <x:row r="109" ht="22" customHeight="1">
      <x:c r="A109" s="50" t="str">
        <x:v>CH-0104</x:v>
      </x:c>
      <x:c r="B109" s="50" t="str">
        <x:v>IN-0032</x:v>
      </x:c>
      <x:c r="C109" s="50" t="str">
        <x:v>Storage Bin</x:v>
      </x:c>
      <x:c r="D109" s="50" t="str">
        <x:v>wh-d-04-01</x:v>
      </x:c>
      <x:c r="E109" s="50" t="str">
        <x:v>WH-D-04-01</x:v>
      </x:c>
      <x:c r="F109" s="50" t="str">
        <x:v>Expand recognized warehouse bin code</x:v>
      </x:c>
      <x:c r="G109" s="50" t="str">
        <x:v>SAFE NORMALIZATION</x:v>
      </x:c>
    </x:row>
    <x:row r="110" ht="22" customHeight="1">
      <x:c r="A110" s="50" t="str">
        <x:v>CH-0105</x:v>
      </x:c>
      <x:c r="B110" s="50" t="str">
        <x:v>IN-0032</x:v>
      </x:c>
      <x:c r="C110" s="50" t="str">
        <x:v>Unit</x:v>
      </x:c>
      <x:c r="D110" s="50" t="str">
        <x:v>ft</x:v>
      </x:c>
      <x:c r="E110" s="50" t="str">
        <x:v>FT</x:v>
      </x:c>
      <x:c r="F110" s="50" t="str">
        <x:v>Map known unit synonym (no quantity conversion)</x:v>
      </x:c>
      <x:c r="G110" s="50" t="str">
        <x:v>SAFE NORMALIZATION</x:v>
      </x:c>
    </x:row>
    <x:row r="111" ht="22" customHeight="1">
      <x:c r="A111" s="50" t="str">
        <x:v>CH-0106</x:v>
      </x:c>
      <x:c r="B111" s="50" t="str">
        <x:v>IN-0032</x:v>
      </x:c>
      <x:c r="C111" s="50" t="str">
        <x:v>Supplier</x:v>
      </x:c>
      <x:c r="D111" s="50" t="str">
        <x:v>Redgate</x:v>
      </x:c>
      <x:c r="E111" s="50" t="str">
        <x:v>Redgate Supply</x:v>
      </x:c>
      <x:c r="F111" s="50" t="str">
        <x:v>Map known supplier abbreviation</x:v>
      </x:c>
      <x:c r="G111" s="50" t="str">
        <x:v>SAFE NORMALIZATION</x:v>
      </x:c>
    </x:row>
    <x:row r="112" ht="22" customHeight="1">
      <x:c r="A112" s="50" t="str">
        <x:v>CH-0107</x:v>
      </x:c>
      <x:c r="B112" s="50" t="str">
        <x:v>IN-0033</x:v>
      </x:c>
      <x:c r="C112" s="50" t="str">
        <x:v>Storage Bin</x:v>
      </x:c>
      <x:c r="D112" s="50" t="str">
        <x:v>wh-c-04-05</x:v>
      </x:c>
      <x:c r="E112" s="50" t="str">
        <x:v>WH-C-04-05</x:v>
      </x:c>
      <x:c r="F112" s="50" t="str">
        <x:v>Expand recognized warehouse bin code</x:v>
      </x:c>
      <x:c r="G112" s="50" t="str">
        <x:v>SAFE NORMALIZATION</x:v>
      </x:c>
    </x:row>
    <x:row r="113" ht="22" customHeight="1">
      <x:c r="A113" s="50" t="str">
        <x:v>CH-0108</x:v>
      </x:c>
      <x:c r="B113" s="50" t="str">
        <x:v>IN-0033</x:v>
      </x:c>
      <x:c r="C113" s="50" t="str">
        <x:v>Supplier</x:v>
      </x:c>
      <x:c r="D113" s="50" t="str">
        <x:v>Meridian Ind.</x:v>
      </x:c>
      <x:c r="E113" s="50" t="str">
        <x:v>Meridian Industrial</x:v>
      </x:c>
      <x:c r="F113" s="50" t="str">
        <x:v>Map known supplier abbreviation</x:v>
      </x:c>
      <x:c r="G113" s="50" t="str">
        <x:v>SAFE NORMALIZATION</x:v>
      </x:c>
    </x:row>
    <x:row r="114" ht="22" customHeight="1">
      <x:c r="A114" s="50" t="str">
        <x:v>CH-0109</x:v>
      </x:c>
      <x:c r="B114" s="50" t="str">
        <x:v>IN-0034</x:v>
      </x:c>
      <x:c r="C114" s="50" t="str">
        <x:v>Category</x:v>
      </x:c>
      <x:c r="D114" s="50" t="str">
        <x:v>Hydraulic</x:v>
      </x:c>
      <x:c r="E114" s="50" t="str">
        <x:v>Hydraulics</x:v>
      </x:c>
      <x:c r="F114" s="50" t="str">
        <x:v>Map known category synonym</x:v>
      </x:c>
      <x:c r="G114" s="50" t="str">
        <x:v>SAFE NORMALIZATION</x:v>
      </x:c>
    </x:row>
    <x:row r="115" ht="22" customHeight="1">
      <x:c r="A115" s="50" t="str">
        <x:v>CH-0110</x:v>
      </x:c>
      <x:c r="B115" s="50" t="str">
        <x:v>IN-0034</x:v>
      </x:c>
      <x:c r="C115" s="50" t="str">
        <x:v>Storage Bin</x:v>
      </x:c>
      <x:c r="D115" s="50" t="str">
        <x:v>wh-c-03-05</x:v>
      </x:c>
      <x:c r="E115" s="50" t="str">
        <x:v>WH-C-03-05</x:v>
      </x:c>
      <x:c r="F115" s="50" t="str">
        <x:v>Expand recognized warehouse bin code</x:v>
      </x:c>
      <x:c r="G115" s="50" t="str">
        <x:v>SAFE NORMALIZATION</x:v>
      </x:c>
    </x:row>
    <x:row r="116" ht="22" customHeight="1">
      <x:c r="A116" s="50" t="str">
        <x:v>CH-0111</x:v>
      </x:c>
      <x:c r="B116" s="50" t="str">
        <x:v>IN-0034</x:v>
      </x:c>
      <x:c r="C116" s="50" t="str">
        <x:v>Unit</x:v>
      </x:c>
      <x:c r="D116" s="50" t="str">
        <x:v>ea</x:v>
      </x:c>
      <x:c r="E116" s="50" t="str">
        <x:v>EA</x:v>
      </x:c>
      <x:c r="F116" s="50" t="str">
        <x:v>Map known unit synonym (no quantity conversion)</x:v>
      </x:c>
      <x:c r="G116" s="50" t="str">
        <x:v>SAFE NORMALIZATION</x:v>
      </x:c>
    </x:row>
    <x:row r="117" ht="22" customHeight="1">
      <x:c r="A117" s="50" t="str">
        <x:v>CH-0112</x:v>
      </x:c>
      <x:c r="B117" s="50" t="str">
        <x:v>IN-0035</x:v>
      </x:c>
      <x:c r="C117" s="50" t="str">
        <x:v>Part ID</x:v>
      </x:c>
      <x:c r="D117" s="50" t="str">
        <x:v>sp-1135</x:v>
      </x:c>
      <x:c r="E117" s="50" t="str">
        <x:v>SP-1135</x:v>
      </x:c>
      <x:c r="F117" s="50" t="str">
        <x:v>Format recognized SP part code</x:v>
      </x:c>
      <x:c r="G117" s="50" t="str">
        <x:v>SAFE NORMALIZATION</x:v>
      </x:c>
    </x:row>
    <x:row r="118" ht="22" customHeight="1">
      <x:c r="A118" s="50" t="str">
        <x:v>CH-0113</x:v>
      </x:c>
      <x:c r="B118" s="50" t="str">
        <x:v>IN-0035</x:v>
      </x:c>
      <x:c r="C118" s="50" t="str">
        <x:v>Category</x:v>
      </x:c>
      <x:c r="D118" s="50" t="str">
        <x:v>Hydraulic</x:v>
      </x:c>
      <x:c r="E118" s="50" t="str">
        <x:v>Hydraulics</x:v>
      </x:c>
      <x:c r="F118" s="50" t="str">
        <x:v>Map known category synonym</x:v>
      </x:c>
      <x:c r="G118" s="50" t="str">
        <x:v>SAFE NORMALIZATION</x:v>
      </x:c>
    </x:row>
    <x:row r="119" ht="22" customHeight="1">
      <x:c r="A119" s="50" t="str">
        <x:v>CH-0114</x:v>
      </x:c>
      <x:c r="B119" s="50" t="str">
        <x:v>IN-0035</x:v>
      </x:c>
      <x:c r="C119" s="50" t="str">
        <x:v>Unit</x:v>
      </x:c>
      <x:c r="D119" s="50" t="str">
        <x:v>ea</x:v>
      </x:c>
      <x:c r="E119" s="50" t="str">
        <x:v>EA</x:v>
      </x:c>
      <x:c r="F119" s="50" t="str">
        <x:v>Map known unit synonym (no quantity conversion)</x:v>
      </x:c>
      <x:c r="G119" s="50" t="str">
        <x:v>SAFE NORMALIZATION</x:v>
      </x:c>
    </x:row>
    <x:row r="120" ht="22" customHeight="1">
      <x:c r="A120" s="50" t="str">
        <x:v>CH-0115</x:v>
      </x:c>
      <x:c r="B120" s="50" t="str">
        <x:v>IN-0036</x:v>
      </x:c>
      <x:c r="C120" s="50" t="str">
        <x:v>Part ID</x:v>
      </x:c>
      <x:c r="D120" s="50" t="str">
        <x:v>sp-1136</x:v>
      </x:c>
      <x:c r="E120" s="50" t="str">
        <x:v>SP-1136</x:v>
      </x:c>
      <x:c r="F120" s="50" t="str">
        <x:v>Format recognized SP part code</x:v>
      </x:c>
      <x:c r="G120" s="50" t="str">
        <x:v>SAFE NORMALIZATION</x:v>
      </x:c>
    </x:row>
    <x:row r="121" ht="22" customHeight="1">
      <x:c r="A121" s="50" t="str">
        <x:v>CH-0116</x:v>
      </x:c>
      <x:c r="B121" s="50" t="str">
        <x:v>IN-0036</x:v>
      </x:c>
      <x:c r="C121" s="50" t="str">
        <x:v>Category</x:v>
      </x:c>
      <x:c r="D121" s="50" t="str">
        <x:v>HYD</x:v>
      </x:c>
      <x:c r="E121" s="50" t="str">
        <x:v>Hydraulics</x:v>
      </x:c>
      <x:c r="F121" s="50" t="str">
        <x:v>Map known category synonym</x:v>
      </x:c>
      <x:c r="G121" s="50" t="str">
        <x:v>SAFE NORMALIZATION</x:v>
      </x:c>
    </x:row>
    <x:row r="122" ht="22" customHeight="1">
      <x:c r="A122" s="50" t="str">
        <x:v>CH-0117</x:v>
      </x:c>
      <x:c r="B122" s="50" t="str">
        <x:v>IN-0036</x:v>
      </x:c>
      <x:c r="C122" s="50" t="str">
        <x:v>Storage Bin</x:v>
      </x:c>
      <x:c r="D122" s="50" t="str">
        <x:v>wh-a-01-05</x:v>
      </x:c>
      <x:c r="E122" s="50" t="str">
        <x:v>WH-A-01-05</x:v>
      </x:c>
      <x:c r="F122" s="50" t="str">
        <x:v>Expand recognized warehouse bin code</x:v>
      </x:c>
      <x:c r="G122" s="50" t="str">
        <x:v>SAFE NORMALIZATION</x:v>
      </x:c>
    </x:row>
    <x:row r="123" ht="22" customHeight="1">
      <x:c r="A123" s="50" t="str">
        <x:v>CH-0118</x:v>
      </x:c>
      <x:c r="B123" s="50" t="str">
        <x:v>IN-0037</x:v>
      </x:c>
      <x:c r="C123" s="50" t="str">
        <x:v>Category</x:v>
      </x:c>
      <x:c r="D123" s="50" t="str">
        <x:v>Electrical</x:v>
      </x:c>
      <x:c r="E123" s="50" t="str">
        <x:v>Electrical Controls</x:v>
      </x:c>
      <x:c r="F123" s="50" t="str">
        <x:v>Map known category synonym</x:v>
      </x:c>
      <x:c r="G123" s="50" t="str">
        <x:v>SAFE NORMALIZATION</x:v>
      </x:c>
    </x:row>
    <x:row r="124" ht="22" customHeight="1">
      <x:c r="A124" s="50" t="str">
        <x:v>CH-0119</x:v>
      </x:c>
      <x:c r="B124" s="50" t="str">
        <x:v>IN-0037</x:v>
      </x:c>
      <x:c r="C124" s="50" t="str">
        <x:v>Storage Bin</x:v>
      </x:c>
      <x:c r="D124" s="50" t="str">
        <x:v>C4-02</x:v>
      </x:c>
      <x:c r="E124" s="50" t="str">
        <x:v>WH-C-04-02</x:v>
      </x:c>
      <x:c r="F124" s="50" t="str">
        <x:v>Expand recognized warehouse bin code</x:v>
      </x:c>
      <x:c r="G124" s="50" t="str">
        <x:v>SAFE NORMALIZATION</x:v>
      </x:c>
    </x:row>
    <x:row r="125" ht="22" customHeight="1">
      <x:c r="A125" s="50" t="str">
        <x:v>CH-0120</x:v>
      </x:c>
      <x:c r="B125" s="50" t="str">
        <x:v>IN-0037</x:v>
      </x:c>
      <x:c r="C125" s="50" t="str">
        <x:v>Unit</x:v>
      </x:c>
      <x:c r="D125" s="50" t="str">
        <x:v>pair</x:v>
      </x:c>
      <x:c r="E125" s="50" t="str">
        <x:v>PAIR</x:v>
      </x:c>
      <x:c r="F125" s="50" t="str">
        <x:v>Map known unit synonym (no quantity conversion)</x:v>
      </x:c>
      <x:c r="G125" s="50" t="str">
        <x:v>SAFE NORMALIZATION</x:v>
      </x:c>
    </x:row>
    <x:row r="126" ht="22" customHeight="1">
      <x:c r="A126" s="50" t="str">
        <x:v>CH-0121</x:v>
      </x:c>
      <x:c r="B126" s="50" t="str">
        <x:v>IN-0037</x:v>
      </x:c>
      <x:c r="C126" s="50" t="str">
        <x:v>Supplier</x:v>
      </x:c>
      <x:c r="D126" s="50" t="str">
        <x:v>N. Forge Parts</x:v>
      </x:c>
      <x:c r="E126" s="50" t="str">
        <x:v>North Forge Parts</x:v>
      </x:c>
      <x:c r="F126" s="50" t="str">
        <x:v>Map known supplier abbreviation</x:v>
      </x:c>
      <x:c r="G126" s="50" t="str">
        <x:v>SAFE NORMALIZATION</x:v>
      </x:c>
    </x:row>
    <x:row r="127" ht="22" customHeight="1">
      <x:c r="A127" s="50" t="str">
        <x:v>CH-0122</x:v>
      </x:c>
      <x:c r="B127" s="50" t="str">
        <x:v>IN-0038</x:v>
      </x:c>
      <x:c r="C127" s="50" t="str">
        <x:v>Category</x:v>
      </x:c>
      <x:c r="D127" s="50" t="str">
        <x:v>ELEC Controls</x:v>
      </x:c>
      <x:c r="E127" s="50" t="str">
        <x:v>Electrical Controls</x:v>
      </x:c>
      <x:c r="F127" s="50" t="str">
        <x:v>Map known category synonym</x:v>
      </x:c>
      <x:c r="G127" s="50" t="str">
        <x:v>SAFE NORMALIZATION</x:v>
      </x:c>
    </x:row>
    <x:row r="128" ht="22" customHeight="1">
      <x:c r="A128" s="50" t="str">
        <x:v>CH-0123</x:v>
      </x:c>
      <x:c r="B128" s="50" t="str">
        <x:v>IN-0038</x:v>
      </x:c>
      <x:c r="C128" s="50" t="str">
        <x:v>Unit</x:v>
      </x:c>
      <x:c r="D128" s="50" t="str">
        <x:v>each</x:v>
      </x:c>
      <x:c r="E128" s="50" t="str">
        <x:v>EA</x:v>
      </x:c>
      <x:c r="F128" s="50" t="str">
        <x:v>Map known unit synonym (no quantity conversion)</x:v>
      </x:c>
      <x:c r="G128" s="50" t="str">
        <x:v>SAFE NORMALIZATION</x:v>
      </x:c>
    </x:row>
    <x:row r="129" ht="22" customHeight="1">
      <x:c r="A129" s="50" t="str">
        <x:v>CH-0124</x:v>
      </x:c>
      <x:c r="B129" s="50" t="str">
        <x:v>IN-0038</x:v>
      </x:c>
      <x:c r="C129" s="50" t="str">
        <x:v>Supplier</x:v>
      </x:c>
      <x:c r="D129" s="50" t="str">
        <x:v>Meridian Ind.</x:v>
      </x:c>
      <x:c r="E129" s="50" t="str">
        <x:v>Meridian Industrial</x:v>
      </x:c>
      <x:c r="F129" s="50" t="str">
        <x:v>Map known supplier abbreviation</x:v>
      </x:c>
      <x:c r="G129" s="50" t="str">
        <x:v>SAFE NORMALIZATION</x:v>
      </x:c>
    </x:row>
    <x:row r="130" ht="22" customHeight="1">
      <x:c r="A130" s="50" t="str">
        <x:v>CH-0125</x:v>
      </x:c>
      <x:c r="B130" s="50" t="str">
        <x:v>IN-0039</x:v>
      </x:c>
      <x:c r="C130" s="50" t="str">
        <x:v>Storage Bin</x:v>
      </x:c>
      <x:c r="D130" s="50" t="str">
        <x:v>wh-c-01-03</x:v>
      </x:c>
      <x:c r="E130" s="50" t="str">
        <x:v>WH-C-01-03</x:v>
      </x:c>
      <x:c r="F130" s="50" t="str">
        <x:v>Expand recognized warehouse bin code</x:v>
      </x:c>
      <x:c r="G130" s="50" t="str">
        <x:v>SAFE NORMALIZATION</x:v>
      </x:c>
    </x:row>
    <x:row r="131" ht="22" customHeight="1">
      <x:c r="A131" s="50" t="str">
        <x:v>CH-0126</x:v>
      </x:c>
      <x:c r="B131" s="50" t="str">
        <x:v>IN-0039</x:v>
      </x:c>
      <x:c r="C131" s="50" t="str">
        <x:v>Supplier</x:v>
      </x:c>
      <x:c r="D131" s="50" t="str">
        <x:v>Canyon Equip.</x:v>
      </x:c>
      <x:c r="E131" s="50" t="str">
        <x:v>Canyon Equipment</x:v>
      </x:c>
      <x:c r="F131" s="50" t="str">
        <x:v>Map known supplier abbreviation</x:v>
      </x:c>
      <x:c r="G131" s="50" t="str">
        <x:v>SAFE NORMALIZATION</x:v>
      </x:c>
    </x:row>
    <x:row r="132" ht="22" customHeight="1">
      <x:c r="A132" s="50" t="str">
        <x:v>CH-0127</x:v>
      </x:c>
      <x:c r="B132" s="50" t="str">
        <x:v>IN-0039</x:v>
      </x:c>
      <x:c r="C132" s="50" t="str">
        <x:v>Last Counted</x:v>
      </x:c>
      <x:c r="D132" s="50" t="str">
        <x:v>08/06/2026</x:v>
      </x:c>
      <x:c r="E132" s="50" t="str">
        <x:v>2026-08-06</x:v>
      </x:c>
      <x:c r="F132" s="50" t="str">
        <x:v>Normalize valid calendar date</x:v>
      </x:c>
      <x:c r="G132" s="50" t="str">
        <x:v>SAFE NORMALIZATION</x:v>
      </x:c>
    </x:row>
    <x:row r="133" ht="22" customHeight="1">
      <x:c r="A133" s="50" t="str">
        <x:v>CH-0128</x:v>
      </x:c>
      <x:c r="B133" s="50" t="str">
        <x:v>IN-0040</x:v>
      </x:c>
      <x:c r="C133" s="50" t="str">
        <x:v>Part Description</x:v>
      </x:c>
      <x:c r="D133" s="50" t="str">
        <x:v> limit switch  -  type b </x:v>
      </x:c>
      <x:c r="E133" s="50" t="str">
        <x:v>limit switch - type b</x:v>
      </x:c>
      <x:c r="F133" s="50" t="str">
        <x:v>Trim and collapse whitespace</x:v>
      </x:c>
      <x:c r="G133" s="50" t="str">
        <x:v>SAFE NORMALIZATION</x:v>
      </x:c>
    </x:row>
    <x:row r="134" ht="22" customHeight="1">
      <x:c r="A134" s="50" t="str">
        <x:v>CH-0129</x:v>
      </x:c>
      <x:c r="B134" s="50" t="str">
        <x:v>IN-0040</x:v>
      </x:c>
      <x:c r="C134" s="50" t="str">
        <x:v>Supplier</x:v>
      </x:c>
      <x:c r="D134" s="50" t="str">
        <x:v>NORTH FORGE PARTS</x:v>
      </x:c>
      <x:c r="E134" s="50" t="str">
        <x:v>North Forge Parts</x:v>
      </x:c>
      <x:c r="F134" s="50" t="str">
        <x:v>Map known supplier abbreviation</x:v>
      </x:c>
      <x:c r="G134" s="50" t="str">
        <x:v>SAFE NORMALIZATION</x:v>
      </x:c>
    </x:row>
    <x:row r="135" ht="22" customHeight="1">
      <x:c r="A135" s="50" t="str">
        <x:v>CH-0130</x:v>
      </x:c>
      <x:c r="B135" s="50" t="str">
        <x:v>IN-0041</x:v>
      </x:c>
      <x:c r="C135" s="50" t="str">
        <x:v>Category</x:v>
      </x:c>
      <x:c r="D135" s="50" t="str">
        <x:v>Electrical</x:v>
      </x:c>
      <x:c r="E135" s="50" t="str">
        <x:v>Electrical Controls</x:v>
      </x:c>
      <x:c r="F135" s="50" t="str">
        <x:v>Map known category synonym</x:v>
      </x:c>
      <x:c r="G135" s="50" t="str">
        <x:v>SAFE NORMALIZATION</x:v>
      </x:c>
    </x:row>
    <x:row r="136" ht="22" customHeight="1">
      <x:c r="A136" s="50" t="str">
        <x:v>CH-0131</x:v>
      </x:c>
      <x:c r="B136" s="50" t="str">
        <x:v>IN-0041</x:v>
      </x:c>
      <x:c r="C136" s="50" t="str">
        <x:v>Storage Bin</x:v>
      </x:c>
      <x:c r="D136" s="50" t="str">
        <x:v>wh-a-04-04</x:v>
      </x:c>
      <x:c r="E136" s="50" t="str">
        <x:v>WH-A-04-04</x:v>
      </x:c>
      <x:c r="F136" s="50" t="str">
        <x:v>Expand recognized warehouse bin code</x:v>
      </x:c>
      <x:c r="G136" s="50" t="str">
        <x:v>SAFE NORMALIZATION</x:v>
      </x:c>
    </x:row>
    <x:row r="137" ht="22" customHeight="1">
      <x:c r="A137" s="50" t="str">
        <x:v>CH-0132</x:v>
      </x:c>
      <x:c r="B137" s="50" t="str">
        <x:v>IN-0041</x:v>
      </x:c>
      <x:c r="C137" s="50" t="str">
        <x:v>Unit</x:v>
      </x:c>
      <x:c r="D137" s="50" t="str">
        <x:v>ea</x:v>
      </x:c>
      <x:c r="E137" s="50" t="str">
        <x:v>EA</x:v>
      </x:c>
      <x:c r="F137" s="50" t="str">
        <x:v>Map known unit synonym (no quantity conversion)</x:v>
      </x:c>
      <x:c r="G137" s="50" t="str">
        <x:v>SAFE NORMALIZATION</x:v>
      </x:c>
    </x:row>
    <x:row r="138" ht="22" customHeight="1">
      <x:c r="A138" s="50" t="str">
        <x:v>CH-0133</x:v>
      </x:c>
      <x:c r="B138" s="50" t="str">
        <x:v>IN-0042</x:v>
      </x:c>
      <x:c r="C138" s="50" t="str">
        <x:v>Category</x:v>
      </x:c>
      <x:c r="D138" s="50" t="str">
        <x:v>Electrical</x:v>
      </x:c>
      <x:c r="E138" s="50" t="str">
        <x:v>Electrical Controls</x:v>
      </x:c>
      <x:c r="F138" s="50" t="str">
        <x:v>Map known category synonym</x:v>
      </x:c>
      <x:c r="G138" s="50" t="str">
        <x:v>SAFE NORMALIZATION</x:v>
      </x:c>
    </x:row>
    <x:row r="139" ht="22" customHeight="1">
      <x:c r="A139" s="50" t="str">
        <x:v>CH-0134</x:v>
      </x:c>
      <x:c r="B139" s="50" t="str">
        <x:v>IN-0042</x:v>
      </x:c>
      <x:c r="C139" s="50" t="str">
        <x:v>Storage Bin</x:v>
      </x:c>
      <x:c r="D139" s="50" t="str">
        <x:v>C2-05</x:v>
      </x:c>
      <x:c r="E139" s="50" t="str">
        <x:v>WH-C-02-05</x:v>
      </x:c>
      <x:c r="F139" s="50" t="str">
        <x:v>Expand recognized warehouse bin code</x:v>
      </x:c>
      <x:c r="G139" s="50" t="str">
        <x:v>SAFE NORMALIZATION</x:v>
      </x:c>
    </x:row>
    <x:row r="140" ht="22" customHeight="1">
      <x:c r="A140" s="50" t="str">
        <x:v>CH-0135</x:v>
      </x:c>
      <x:c r="B140" s="50" t="str">
        <x:v>IN-0042</x:v>
      </x:c>
      <x:c r="C140" s="50" t="str">
        <x:v>Unit</x:v>
      </x:c>
      <x:c r="D140" s="50" t="str">
        <x:v>pair</x:v>
      </x:c>
      <x:c r="E140" s="50" t="str">
        <x:v>PAIR</x:v>
      </x:c>
      <x:c r="F140" s="50" t="str">
        <x:v>Map known unit synonym (no quantity conversion)</x:v>
      </x:c>
      <x:c r="G140" s="50" t="str">
        <x:v>SAFE NORMALIZATION</x:v>
      </x:c>
    </x:row>
    <x:row r="141" ht="22" customHeight="1">
      <x:c r="A141" s="50" t="str">
        <x:v>CH-0136</x:v>
      </x:c>
      <x:c r="B141" s="50" t="str">
        <x:v>IN-0043</x:v>
      </x:c>
      <x:c r="C141" s="50" t="str">
        <x:v>Category</x:v>
      </x:c>
      <x:c r="D141" s="50" t="str">
        <x:v>ELEC Controls</x:v>
      </x:c>
      <x:c r="E141" s="50" t="str">
        <x:v>Electrical Controls</x:v>
      </x:c>
      <x:c r="F141" s="50" t="str">
        <x:v>Map known category synonym</x:v>
      </x:c>
      <x:c r="G141" s="50" t="str">
        <x:v>SAFE NORMALIZATION</x:v>
      </x:c>
    </x:row>
    <x:row r="142" ht="22" customHeight="1">
      <x:c r="A142" s="50" t="str">
        <x:v>CH-0137</x:v>
      </x:c>
      <x:c r="B142" s="50" t="str">
        <x:v>IN-0043</x:v>
      </x:c>
      <x:c r="C142" s="50" t="str">
        <x:v>Storage Bin</x:v>
      </x:c>
      <x:c r="D142" s="50" t="str">
        <x:v>B3-05</x:v>
      </x:c>
      <x:c r="E142" s="50" t="str">
        <x:v>WH-B-03-05</x:v>
      </x:c>
      <x:c r="F142" s="50" t="str">
        <x:v>Expand recognized warehouse bin code</x:v>
      </x:c>
      <x:c r="G142" s="50" t="str">
        <x:v>SAFE NORMALIZATION</x:v>
      </x:c>
    </x:row>
    <x:row r="143" ht="22" customHeight="1">
      <x:c r="A143" s="50" t="str">
        <x:v>CH-0138</x:v>
      </x:c>
      <x:c r="B143" s="50" t="str">
        <x:v>IN-0043</x:v>
      </x:c>
      <x:c r="C143" s="50" t="str">
        <x:v>Unit</x:v>
      </x:c>
      <x:c r="D143" s="50" t="str">
        <x:v>ea</x:v>
      </x:c>
      <x:c r="E143" s="50" t="str">
        <x:v>EA</x:v>
      </x:c>
      <x:c r="F143" s="50" t="str">
        <x:v>Map known unit synonym (no quantity conversion)</x:v>
      </x:c>
      <x:c r="G143" s="50" t="str">
        <x:v>SAFE NORMALIZATION</x:v>
      </x:c>
    </x:row>
    <x:row r="144" ht="22" customHeight="1">
      <x:c r="A144" s="50" t="str">
        <x:v>CH-0139</x:v>
      </x:c>
      <x:c r="B144" s="50" t="str">
        <x:v>IN-0043</x:v>
      </x:c>
      <x:c r="C144" s="50" t="str">
        <x:v>Supplier</x:v>
      </x:c>
      <x:c r="D144" s="50" t="str">
        <x:v>Canyon Equip.</x:v>
      </x:c>
      <x:c r="E144" s="50" t="str">
        <x:v>Canyon Equipment</x:v>
      </x:c>
      <x:c r="F144" s="50" t="str">
        <x:v>Map known supplier abbreviation</x:v>
      </x:c>
      <x:c r="G144" s="50" t="str">
        <x:v>SAFE NORMALIZATION</x:v>
      </x:c>
    </x:row>
    <x:row r="145" ht="22" customHeight="1">
      <x:c r="A145" s="50" t="str">
        <x:v>CH-0140</x:v>
      </x:c>
      <x:c r="B145" s="50" t="str">
        <x:v>IN-0044</x:v>
      </x:c>
      <x:c r="C145" s="50" t="str">
        <x:v>Category</x:v>
      </x:c>
      <x:c r="D145" s="50" t="str">
        <x:v>Electrical</x:v>
      </x:c>
      <x:c r="E145" s="50" t="str">
        <x:v>Electrical Controls</x:v>
      </x:c>
      <x:c r="F145" s="50" t="str">
        <x:v>Map known category synonym</x:v>
      </x:c>
      <x:c r="G145" s="50" t="str">
        <x:v>SAFE NORMALIZATION</x:v>
      </x:c>
    </x:row>
    <x:row r="146" ht="22" customHeight="1">
      <x:c r="A146" s="50" t="str">
        <x:v>CH-0141</x:v>
      </x:c>
      <x:c r="B146" s="50" t="str">
        <x:v>IN-0044</x:v>
      </x:c>
      <x:c r="C146" s="50" t="str">
        <x:v>Storage Bin</x:v>
      </x:c>
      <x:c r="D146" s="50" t="str">
        <x:v>wh-a-03-04</x:v>
      </x:c>
      <x:c r="E146" s="50" t="str">
        <x:v>WH-A-03-04</x:v>
      </x:c>
      <x:c r="F146" s="50" t="str">
        <x:v>Expand recognized warehouse bin code</x:v>
      </x:c>
      <x:c r="G146" s="50" t="str">
        <x:v>SAFE NORMALIZATION</x:v>
      </x:c>
    </x:row>
    <x:row r="147" ht="22" customHeight="1">
      <x:c r="A147" s="50" t="str">
        <x:v>CH-0142</x:v>
      </x:c>
      <x:c r="B147" s="50" t="str">
        <x:v>IN-0044</x:v>
      </x:c>
      <x:c r="C147" s="50" t="str">
        <x:v>Supplier</x:v>
      </x:c>
      <x:c r="D147" s="50" t="str">
        <x:v>MERIDIAN INDUSTRIAL</x:v>
      </x:c>
      <x:c r="E147" s="50" t="str">
        <x:v>Meridian Industrial</x:v>
      </x:c>
      <x:c r="F147" s="50" t="str">
        <x:v>Map known supplier abbreviation</x:v>
      </x:c>
      <x:c r="G147" s="50" t="str">
        <x:v>SAFE NORMALIZATION</x:v>
      </x:c>
    </x:row>
    <x:row r="148" ht="22" customHeight="1">
      <x:c r="A148" s="50" t="str">
        <x:v>CH-0143</x:v>
      </x:c>
      <x:c r="B148" s="50" t="str">
        <x:v>IN-0045</x:v>
      </x:c>
      <x:c r="C148" s="50" t="str">
        <x:v>Storage Bin</x:v>
      </x:c>
      <x:c r="D148" s="50" t="str">
        <x:v>wh-d-04-05</x:v>
      </x:c>
      <x:c r="E148" s="50" t="str">
        <x:v>WH-D-04-05</x:v>
      </x:c>
      <x:c r="F148" s="50" t="str">
        <x:v>Expand recognized warehouse bin code</x:v>
      </x:c>
      <x:c r="G148" s="50" t="str">
        <x:v>SAFE NORMALIZATION</x:v>
      </x:c>
    </x:row>
    <x:row r="149" ht="22" customHeight="1">
      <x:c r="A149" s="50" t="str">
        <x:v>CH-0144</x:v>
      </x:c>
      <x:c r="B149" s="50" t="str">
        <x:v>IN-0045</x:v>
      </x:c>
      <x:c r="C149" s="50" t="str">
        <x:v>Unit</x:v>
      </x:c>
      <x:c r="D149" s="50" t="str">
        <x:v>pcs</x:v>
      </x:c>
      <x:c r="E149" s="50" t="str">
        <x:v>EA</x:v>
      </x:c>
      <x:c r="F149" s="50" t="str">
        <x:v>Map known unit synonym (no quantity conversion)</x:v>
      </x:c>
      <x:c r="G149" s="50" t="str">
        <x:v>SAFE NORMALIZATION</x:v>
      </x:c>
    </x:row>
    <x:row r="150" ht="22" customHeight="1">
      <x:c r="A150" s="50" t="str">
        <x:v>CH-0145</x:v>
      </x:c>
      <x:c r="B150" s="50" t="str">
        <x:v>IN-0046</x:v>
      </x:c>
      <x:c r="C150" s="50" t="str">
        <x:v>Part ID</x:v>
      </x:c>
      <x:c r="D150" s="50" t="str">
        <x:v>sp-1146</x:v>
      </x:c>
      <x:c r="E150" s="50" t="str">
        <x:v>SP-1146</x:v>
      </x:c>
      <x:c r="F150" s="50" t="str">
        <x:v>Format recognized SP part code</x:v>
      </x:c>
      <x:c r="G150" s="50" t="str">
        <x:v>SAFE NORMALIZATION</x:v>
      </x:c>
    </x:row>
    <x:row r="151" ht="22" customHeight="1">
      <x:c r="A151" s="50" t="str">
        <x:v>CH-0146</x:v>
      </x:c>
      <x:c r="B151" s="50" t="str">
        <x:v>IN-0046</x:v>
      </x:c>
      <x:c r="C151" s="50" t="str">
        <x:v>Category</x:v>
      </x:c>
      <x:c r="D151" s="50" t="str">
        <x:v>Electrical</x:v>
      </x:c>
      <x:c r="E151" s="50" t="str">
        <x:v>Electrical Controls</x:v>
      </x:c>
      <x:c r="F151" s="50" t="str">
        <x:v>Map known category synonym</x:v>
      </x:c>
      <x:c r="G151" s="50" t="str">
        <x:v>SAFE NORMALIZATION</x:v>
      </x:c>
    </x:row>
    <x:row r="152" ht="22" customHeight="1">
      <x:c r="A152" s="50" t="str">
        <x:v>CH-0147</x:v>
      </x:c>
      <x:c r="B152" s="50" t="str">
        <x:v>IN-0046</x:v>
      </x:c>
      <x:c r="C152" s="50" t="str">
        <x:v>Storage Bin</x:v>
      </x:c>
      <x:c r="D152" s="50" t="str">
        <x:v>C1-01</x:v>
      </x:c>
      <x:c r="E152" s="50" t="str">
        <x:v>WH-C-01-01</x:v>
      </x:c>
      <x:c r="F152" s="50" t="str">
        <x:v>Expand recognized warehouse bin code</x:v>
      </x:c>
      <x:c r="G152" s="50" t="str">
        <x:v>SAFE NORMALIZATION</x:v>
      </x:c>
    </x:row>
    <x:row r="153" ht="22" customHeight="1">
      <x:c r="A153" s="50" t="str">
        <x:v>CH-0148</x:v>
      </x:c>
      <x:c r="B153" s="50" t="str">
        <x:v>IN-0046</x:v>
      </x:c>
      <x:c r="C153" s="50" t="str">
        <x:v>Supplier</x:v>
      </x:c>
      <x:c r="D153" s="50" t="str">
        <x:v>REDGATE SUPPLY</x:v>
      </x:c>
      <x:c r="E153" s="50" t="str">
        <x:v>Redgate Supply</x:v>
      </x:c>
      <x:c r="F153" s="50" t="str">
        <x:v>Map known supplier abbreviation</x:v>
      </x:c>
      <x:c r="G153" s="50" t="str">
        <x:v>SAFE NORMALIZATION</x:v>
      </x:c>
    </x:row>
    <x:row r="154" ht="22" customHeight="1">
      <x:c r="A154" s="50" t="str">
        <x:v>CH-0149</x:v>
      </x:c>
      <x:c r="B154" s="50" t="str">
        <x:v>IN-0047</x:v>
      </x:c>
      <x:c r="C154" s="50" t="str">
        <x:v>Part ID</x:v>
      </x:c>
      <x:c r="D154" s="50" t="str">
        <x:v>SP 1147</x:v>
      </x:c>
      <x:c r="E154" s="50" t="str">
        <x:v>SP-1147</x:v>
      </x:c>
      <x:c r="F154" s="50" t="str">
        <x:v>Format recognized SP part code</x:v>
      </x:c>
      <x:c r="G154" s="50" t="str">
        <x:v>SAFE NORMALIZATION</x:v>
      </x:c>
    </x:row>
    <x:row r="155" ht="22" customHeight="1">
      <x:c r="A155" s="50" t="str">
        <x:v>CH-0150</x:v>
      </x:c>
      <x:c r="B155" s="50" t="str">
        <x:v>IN-0047</x:v>
      </x:c>
      <x:c r="C155" s="50" t="str">
        <x:v>Storage Bin</x:v>
      </x:c>
      <x:c r="D155" s="50" t="str">
        <x:v>wh-b-04-05</x:v>
      </x:c>
      <x:c r="E155" s="50" t="str">
        <x:v>WH-B-04-05</x:v>
      </x:c>
      <x:c r="F155" s="50" t="str">
        <x:v>Expand recognized warehouse bin code</x:v>
      </x:c>
      <x:c r="G155" s="50" t="str">
        <x:v>SAFE NORMALIZATION</x:v>
      </x:c>
    </x:row>
    <x:row r="156" ht="22" customHeight="1">
      <x:c r="A156" s="50" t="str">
        <x:v>CH-0151</x:v>
      </x:c>
      <x:c r="B156" s="50" t="str">
        <x:v>IN-0047</x:v>
      </x:c>
      <x:c r="C156" s="50" t="str">
        <x:v>Unit</x:v>
      </x:c>
      <x:c r="D156" s="50" t="str">
        <x:v>pcs</x:v>
      </x:c>
      <x:c r="E156" s="50" t="str">
        <x:v>EA</x:v>
      </x:c>
      <x:c r="F156" s="50" t="str">
        <x:v>Map known unit synonym (no quantity conversion)</x:v>
      </x:c>
      <x:c r="G156" s="50" t="str">
        <x:v>SAFE NORMALIZATION</x:v>
      </x:c>
    </x:row>
    <x:row r="157" ht="22" customHeight="1">
      <x:c r="A157" s="50" t="str">
        <x:v>CH-0152</x:v>
      </x:c>
      <x:c r="B157" s="50" t="str">
        <x:v>IN-0048</x:v>
      </x:c>
      <x:c r="C157" s="50" t="str">
        <x:v>Part Description</x:v>
      </x:c>
      <x:c r="D157" s="50" t="str">
        <x:v> control transformer  -  series 2 </x:v>
      </x:c>
      <x:c r="E157" s="50" t="str">
        <x:v>control transformer - series 2</x:v>
      </x:c>
      <x:c r="F157" s="50" t="str">
        <x:v>Trim and collapse whitespace</x:v>
      </x:c>
      <x:c r="G157" s="50" t="str">
        <x:v>SAFE NORMALIZATION</x:v>
      </x:c>
    </x:row>
    <x:row r="158" ht="22" customHeight="1">
      <x:c r="A158" s="50" t="str">
        <x:v>CH-0153</x:v>
      </x:c>
      <x:c r="B158" s="50" t="str">
        <x:v>IN-0048</x:v>
      </x:c>
      <x:c r="C158" s="50" t="str">
        <x:v>Storage Bin</x:v>
      </x:c>
      <x:c r="D158" s="50" t="str">
        <x:v>wh-c-02-03</x:v>
      </x:c>
      <x:c r="E158" s="50" t="str">
        <x:v>WH-C-02-03</x:v>
      </x:c>
      <x:c r="F158" s="50" t="str">
        <x:v>Expand recognized warehouse bin code</x:v>
      </x:c>
      <x:c r="G158" s="50" t="str">
        <x:v>SAFE NORMALIZATION</x:v>
      </x:c>
    </x:row>
    <x:row r="159" ht="22" customHeight="1">
      <x:c r="A159" s="50" t="str">
        <x:v>CH-0154</x:v>
      </x:c>
      <x:c r="B159" s="50" t="str">
        <x:v>IN-0050</x:v>
      </x:c>
      <x:c r="C159" s="50" t="str">
        <x:v>Unit</x:v>
      </x:c>
      <x:c r="D159" s="50" t="str">
        <x:v>pcs</x:v>
      </x:c>
      <x:c r="E159" s="50" t="str">
        <x:v>EA</x:v>
      </x:c>
      <x:c r="F159" s="50" t="str">
        <x:v>Map known unit synonym (no quantity conversion)</x:v>
      </x:c>
      <x:c r="G159" s="50" t="str">
        <x:v>SAFE NORMALIZATION</x:v>
      </x:c>
    </x:row>
    <x:row r="160" ht="22" customHeight="1">
      <x:c r="A160" s="50" t="str">
        <x:v>CH-0155</x:v>
      </x:c>
      <x:c r="B160" s="50" t="str">
        <x:v>IN-0050</x:v>
      </x:c>
      <x:c r="C160" s="50" t="str">
        <x:v>Supplier</x:v>
      </x:c>
      <x:c r="D160" s="50" t="str">
        <x:v>Canyon Equip.</x:v>
      </x:c>
      <x:c r="E160" s="50" t="str">
        <x:v>Canyon Equipment</x:v>
      </x:c>
      <x:c r="F160" s="50" t="str">
        <x:v>Map known supplier abbreviation</x:v>
      </x:c>
      <x:c r="G160" s="50" t="str">
        <x:v>SAFE NORMALIZATION</x:v>
      </x:c>
    </x:row>
    <x:row r="161" ht="22" customHeight="1">
      <x:c r="A161" s="50" t="str">
        <x:v>CH-0156</x:v>
      </x:c>
      <x:c r="B161" s="50" t="str">
        <x:v>IN-0051</x:v>
      </x:c>
      <x:c r="C161" s="50" t="str">
        <x:v>Category</x:v>
      </x:c>
      <x:c r="D161" s="50" t="str">
        <x:v>MOTORS</x:v>
      </x:c>
      <x:c r="E161" s="50" t="str">
        <x:v>Motors &amp; Drives</x:v>
      </x:c>
      <x:c r="F161" s="50" t="str">
        <x:v>Map known category synonym</x:v>
      </x:c>
      <x:c r="G161" s="50" t="str">
        <x:v>SAFE NORMALIZATION</x:v>
      </x:c>
    </x:row>
    <x:row r="162" ht="22" customHeight="1">
      <x:c r="A162" s="50" t="str">
        <x:v>CH-0157</x:v>
      </x:c>
      <x:c r="B162" s="50" t="str">
        <x:v>IN-0051</x:v>
      </x:c>
      <x:c r="C162" s="50" t="str">
        <x:v>Unit</x:v>
      </x:c>
      <x:c r="D162" s="50" t="str">
        <x:v>pcs</x:v>
      </x:c>
      <x:c r="E162" s="50" t="str">
        <x:v>EA</x:v>
      </x:c>
      <x:c r="F162" s="50" t="str">
        <x:v>Map known unit synonym (no quantity conversion)</x:v>
      </x:c>
      <x:c r="G162" s="50" t="str">
        <x:v>SAFE NORMALIZATION</x:v>
      </x:c>
    </x:row>
    <x:row r="163" ht="22" customHeight="1">
      <x:c r="A163" s="50" t="str">
        <x:v>CH-0158</x:v>
      </x:c>
      <x:c r="B163" s="50" t="str">
        <x:v>IN-0052</x:v>
      </x:c>
      <x:c r="C163" s="50" t="str">
        <x:v>Part ID</x:v>
      </x:c>
      <x:c r="D163" s="50" t="str">
        <x:v>SP 1152</x:v>
      </x:c>
      <x:c r="E163" s="50" t="str">
        <x:v>SP-1152</x:v>
      </x:c>
      <x:c r="F163" s="50" t="str">
        <x:v>Format recognized SP part code</x:v>
      </x:c>
      <x:c r="G163" s="50" t="str">
        <x:v>SAFE NORMALIZATION</x:v>
      </x:c>
    </x:row>
    <x:row r="164" ht="22" customHeight="1">
      <x:c r="A164" s="50" t="str">
        <x:v>CH-0159</x:v>
      </x:c>
      <x:c r="B164" s="50" t="str">
        <x:v>IN-0052</x:v>
      </x:c>
      <x:c r="C164" s="50" t="str">
        <x:v>Unit</x:v>
      </x:c>
      <x:c r="D164" s="50" t="str">
        <x:v>pcs</x:v>
      </x:c>
      <x:c r="E164" s="50" t="str">
        <x:v>EA</x:v>
      </x:c>
      <x:c r="F164" s="50" t="str">
        <x:v>Map known unit synonym (no quantity conversion)</x:v>
      </x:c>
      <x:c r="G164" s="50" t="str">
        <x:v>SAFE NORMALIZATION</x:v>
      </x:c>
    </x:row>
    <x:row r="165" ht="22" customHeight="1">
      <x:c r="A165" s="50" t="str">
        <x:v>CH-0160</x:v>
      </x:c>
      <x:c r="B165" s="50" t="str">
        <x:v>IN-0052</x:v>
      </x:c>
      <x:c r="C165" s="50" t="str">
        <x:v>Supplier</x:v>
      </x:c>
      <x:c r="D165" s="50" t="str">
        <x:v>CANYON EQUIPMENT</x:v>
      </x:c>
      <x:c r="E165" s="50" t="str">
        <x:v>Canyon Equipment</x:v>
      </x:c>
      <x:c r="F165" s="50" t="str">
        <x:v>Map known supplier abbreviation</x:v>
      </x:c>
      <x:c r="G165" s="50" t="str">
        <x:v>SAFE NORMALIZATION</x:v>
      </x:c>
    </x:row>
    <x:row r="166" ht="22" customHeight="1">
      <x:c r="A166" s="50" t="str">
        <x:v>CH-0161</x:v>
      </x:c>
      <x:c r="B166" s="50" t="str">
        <x:v>IN-0052</x:v>
      </x:c>
      <x:c r="C166" s="50" t="str">
        <x:v>Last Counted</x:v>
      </x:c>
      <x:c r="D166" s="50" t="str">
        <x:v>07/15/2026</x:v>
      </x:c>
      <x:c r="E166" s="50" t="str">
        <x:v>2026-07-15</x:v>
      </x:c>
      <x:c r="F166" s="50" t="str">
        <x:v>Normalize valid calendar date</x:v>
      </x:c>
      <x:c r="G166" s="50" t="str">
        <x:v>SAFE NORMALIZATION</x:v>
      </x:c>
    </x:row>
    <x:row r="167" ht="22" customHeight="1">
      <x:c r="A167" s="50" t="str">
        <x:v>CH-0162</x:v>
      </x:c>
      <x:c r="B167" s="50" t="str">
        <x:v>IN-0053</x:v>
      </x:c>
      <x:c r="C167" s="50" t="str">
        <x:v>Part ID</x:v>
      </x:c>
      <x:c r="D167" s="50" t="str">
        <x:v>sp-1153</x:v>
      </x:c>
      <x:c r="E167" s="50" t="str">
        <x:v>SP-1153</x:v>
      </x:c>
      <x:c r="F167" s="50" t="str">
        <x:v>Format recognized SP part code</x:v>
      </x:c>
      <x:c r="G167" s="50" t="str">
        <x:v>SAFE NORMALIZATION</x:v>
      </x:c>
    </x:row>
    <x:row r="168" ht="22" customHeight="1">
      <x:c r="A168" s="50" t="str">
        <x:v>CH-0163</x:v>
      </x:c>
      <x:c r="B168" s="50" t="str">
        <x:v>IN-0053</x:v>
      </x:c>
      <x:c r="C168" s="50" t="str">
        <x:v>Storage Bin</x:v>
      </x:c>
      <x:c r="D168" s="50" t="str">
        <x:v>wh-d-01-05</x:v>
      </x:c>
      <x:c r="E168" s="50" t="str">
        <x:v>WH-D-01-05</x:v>
      </x:c>
      <x:c r="F168" s="50" t="str">
        <x:v>Expand recognized warehouse bin code</x:v>
      </x:c>
      <x:c r="G168" s="50" t="str">
        <x:v>SAFE NORMALIZATION</x:v>
      </x:c>
    </x:row>
    <x:row r="169" ht="22" customHeight="1">
      <x:c r="A169" s="50" t="str">
        <x:v>CH-0164</x:v>
      </x:c>
      <x:c r="B169" s="50" t="str">
        <x:v>IN-0053</x:v>
      </x:c>
      <x:c r="C169" s="50" t="str">
        <x:v>Unit</x:v>
      </x:c>
      <x:c r="D169" s="50" t="str">
        <x:v>pcs</x:v>
      </x:c>
      <x:c r="E169" s="50" t="str">
        <x:v>EA</x:v>
      </x:c>
      <x:c r="F169" s="50" t="str">
        <x:v>Map known unit synonym (no quantity conversion)</x:v>
      </x:c>
      <x:c r="G169" s="50" t="str">
        <x:v>SAFE NORMALIZATION</x:v>
      </x:c>
    </x:row>
    <x:row r="170" ht="22" customHeight="1">
      <x:c r="A170" s="50" t="str">
        <x:v>CH-0165</x:v>
      </x:c>
      <x:c r="B170" s="50" t="str">
        <x:v>IN-0054</x:v>
      </x:c>
      <x:c r="C170" s="50" t="str">
        <x:v>Unit</x:v>
      </x:c>
      <x:c r="D170" s="50" t="str">
        <x:v>ea</x:v>
      </x:c>
      <x:c r="E170" s="50" t="str">
        <x:v>EA</x:v>
      </x:c>
      <x:c r="F170" s="50" t="str">
        <x:v>Map known unit synonym (no quantity conversion)</x:v>
      </x:c>
      <x:c r="G170" s="50" t="str">
        <x:v>SAFE NORMALIZATION</x:v>
      </x:c>
    </x:row>
    <x:row r="171" ht="22" customHeight="1">
      <x:c r="A171" s="50" t="str">
        <x:v>CH-0166</x:v>
      </x:c>
      <x:c r="B171" s="50" t="str">
        <x:v>IN-0054</x:v>
      </x:c>
      <x:c r="C171" s="50" t="str">
        <x:v>Supplier</x:v>
      </x:c>
      <x:c r="D171" s="50" t="str">
        <x:v>NORTH FORGE PARTS</x:v>
      </x:c>
      <x:c r="E171" s="50" t="str">
        <x:v>North Forge Parts</x:v>
      </x:c>
      <x:c r="F171" s="50" t="str">
        <x:v>Map known supplier abbreviation</x:v>
      </x:c>
      <x:c r="G171" s="50" t="str">
        <x:v>SAFE NORMALIZATION</x:v>
      </x:c>
    </x:row>
    <x:row r="172" ht="22" customHeight="1">
      <x:c r="A172" s="50" t="str">
        <x:v>CH-0167</x:v>
      </x:c>
      <x:c r="B172" s="50" t="str">
        <x:v>IN-0055</x:v>
      </x:c>
      <x:c r="C172" s="50" t="str">
        <x:v>Storage Bin</x:v>
      </x:c>
      <x:c r="D172" s="50" t="str">
        <x:v>A1-03</x:v>
      </x:c>
      <x:c r="E172" s="50" t="str">
        <x:v>WH-A-01-03</x:v>
      </x:c>
      <x:c r="F172" s="50" t="str">
        <x:v>Expand recognized warehouse bin code</x:v>
      </x:c>
      <x:c r="G172" s="50" t="str">
        <x:v>SAFE NORMALIZATION</x:v>
      </x:c>
    </x:row>
    <x:row r="173" ht="22" customHeight="1">
      <x:c r="A173" s="50" t="str">
        <x:v>CH-0168</x:v>
      </x:c>
      <x:c r="B173" s="50" t="str">
        <x:v>IN-0055</x:v>
      </x:c>
      <x:c r="C173" s="50" t="str">
        <x:v>Unit</x:v>
      </x:c>
      <x:c r="D173" s="50" t="str">
        <x:v>ea</x:v>
      </x:c>
      <x:c r="E173" s="50" t="str">
        <x:v>EA</x:v>
      </x:c>
      <x:c r="F173" s="50" t="str">
        <x:v>Map known unit synonym (no quantity conversion)</x:v>
      </x:c>
      <x:c r="G173" s="50" t="str">
        <x:v>SAFE NORMALIZATION</x:v>
      </x:c>
    </x:row>
    <x:row r="174" ht="22" customHeight="1">
      <x:c r="A174" s="50" t="str">
        <x:v>CH-0169</x:v>
      </x:c>
      <x:c r="B174" s="50" t="str">
        <x:v>IN-0055</x:v>
      </x:c>
      <x:c r="C174" s="50" t="str">
        <x:v>Supplier</x:v>
      </x:c>
      <x:c r="D174" s="50" t="str">
        <x:v>REDGATE SUPPLY</x:v>
      </x:c>
      <x:c r="E174" s="50" t="str">
        <x:v>Redgate Supply</x:v>
      </x:c>
      <x:c r="F174" s="50" t="str">
        <x:v>Map known supplier abbreviation</x:v>
      </x:c>
      <x:c r="G174" s="50" t="str">
        <x:v>SAFE NORMALIZATION</x:v>
      </x:c>
    </x:row>
    <x:row r="175" ht="22" customHeight="1">
      <x:c r="A175" s="50" t="str">
        <x:v>CH-0170</x:v>
      </x:c>
      <x:c r="B175" s="50" t="str">
        <x:v>IN-0056</x:v>
      </x:c>
      <x:c r="C175" s="50" t="str">
        <x:v>Part Description</x:v>
      </x:c>
      <x:c r="D175" s="50" t="str">
        <x:v> fan guard  -  standard </x:v>
      </x:c>
      <x:c r="E175" s="50" t="str">
        <x:v>fan guard - standard</x:v>
      </x:c>
      <x:c r="F175" s="50" t="str">
        <x:v>Trim and collapse whitespace</x:v>
      </x:c>
      <x:c r="G175" s="50" t="str">
        <x:v>SAFE NORMALIZATION</x:v>
      </x:c>
    </x:row>
    <x:row r="176" ht="22" customHeight="1">
      <x:c r="A176" s="50" t="str">
        <x:v>CH-0171</x:v>
      </x:c>
      <x:c r="B176" s="50" t="str">
        <x:v>IN-0056</x:v>
      </x:c>
      <x:c r="C176" s="50" t="str">
        <x:v>Category</x:v>
      </x:c>
      <x:c r="D176" s="50" t="str">
        <x:v>Drives</x:v>
      </x:c>
      <x:c r="E176" s="50" t="str">
        <x:v>Motors &amp; Drives</x:v>
      </x:c>
      <x:c r="F176" s="50" t="str">
        <x:v>Map known category synonym</x:v>
      </x:c>
      <x:c r="G176" s="50" t="str">
        <x:v>SAFE NORMALIZATION</x:v>
      </x:c>
    </x:row>
    <x:row r="177" ht="22" customHeight="1">
      <x:c r="A177" s="50" t="str">
        <x:v>CH-0172</x:v>
      </x:c>
      <x:c r="B177" s="50" t="str">
        <x:v>IN-0056</x:v>
      </x:c>
      <x:c r="C177" s="50" t="str">
        <x:v>Unit</x:v>
      </x:c>
      <x:c r="D177" s="50" t="str">
        <x:v>pcs</x:v>
      </x:c>
      <x:c r="E177" s="50" t="str">
        <x:v>EA</x:v>
      </x:c>
      <x:c r="F177" s="50" t="str">
        <x:v>Map known unit synonym (no quantity conversion)</x:v>
      </x:c>
      <x:c r="G177" s="50" t="str">
        <x:v>SAFE NORMALIZATION</x:v>
      </x:c>
    </x:row>
    <x:row r="178" ht="22" customHeight="1">
      <x:c r="A178" s="50" t="str">
        <x:v>CH-0173</x:v>
      </x:c>
      <x:c r="B178" s="50" t="str">
        <x:v>IN-0056</x:v>
      </x:c>
      <x:c r="C178" s="50" t="str">
        <x:v>Supplier</x:v>
      </x:c>
      <x:c r="D178" s="50" t="str">
        <x:v>Meridian Ind.</x:v>
      </x:c>
      <x:c r="E178" s="50" t="str">
        <x:v>Meridian Industrial</x:v>
      </x:c>
      <x:c r="F178" s="50" t="str">
        <x:v>Map known supplier abbreviation</x:v>
      </x:c>
      <x:c r="G178" s="50" t="str">
        <x:v>SAFE NORMALIZATION</x:v>
      </x:c>
    </x:row>
    <x:row r="179" ht="22" customHeight="1">
      <x:c r="A179" s="50" t="str">
        <x:v>CH-0174</x:v>
      </x:c>
      <x:c r="B179" s="50" t="str">
        <x:v>IN-0057</x:v>
      </x:c>
      <x:c r="C179" s="50" t="str">
        <x:v>Category</x:v>
      </x:c>
      <x:c r="D179" s="50" t="str">
        <x:v>Drives</x:v>
      </x:c>
      <x:c r="E179" s="50" t="str">
        <x:v>Motors &amp; Drives</x:v>
      </x:c>
      <x:c r="F179" s="50" t="str">
        <x:v>Map known category synonym</x:v>
      </x:c>
      <x:c r="G179" s="50" t="str">
        <x:v>SAFE NORMALIZATION</x:v>
      </x:c>
    </x:row>
    <x:row r="180" ht="22" customHeight="1">
      <x:c r="A180" s="50" t="str">
        <x:v>CH-0175</x:v>
      </x:c>
      <x:c r="B180" s="50" t="str">
        <x:v>IN-0057</x:v>
      </x:c>
      <x:c r="C180" s="50" t="str">
        <x:v>Storage Bin</x:v>
      </x:c>
      <x:c r="D180" s="50" t="str">
        <x:v>C2-04</x:v>
      </x:c>
      <x:c r="E180" s="50" t="str">
        <x:v>WH-C-02-04</x:v>
      </x:c>
      <x:c r="F180" s="50" t="str">
        <x:v>Expand recognized warehouse bin code</x:v>
      </x:c>
      <x:c r="G180" s="50" t="str">
        <x:v>SAFE NORMALIZATION</x:v>
      </x:c>
    </x:row>
    <x:row r="181" ht="22" customHeight="1">
      <x:c r="A181" s="50" t="str">
        <x:v>CH-0176</x:v>
      </x:c>
      <x:c r="B181" s="50" t="str">
        <x:v>IN-0057</x:v>
      </x:c>
      <x:c r="C181" s="50" t="str">
        <x:v>Unit</x:v>
      </x:c>
      <x:c r="D181" s="50" t="str">
        <x:v>ea</x:v>
      </x:c>
      <x:c r="E181" s="50" t="str">
        <x:v>EA</x:v>
      </x:c>
      <x:c r="F181" s="50" t="str">
        <x:v>Map known unit synonym (no quantity conversion)</x:v>
      </x:c>
      <x:c r="G181" s="50" t="str">
        <x:v>SAFE NORMALIZATION</x:v>
      </x:c>
    </x:row>
    <x:row r="182" ht="22" customHeight="1">
      <x:c r="A182" s="50" t="str">
        <x:v>CH-0177</x:v>
      </x:c>
      <x:c r="B182" s="50" t="str">
        <x:v>IN-0057</x:v>
      </x:c>
      <x:c r="C182" s="50" t="str">
        <x:v>Supplier</x:v>
      </x:c>
      <x:c r="D182" s="50" t="str">
        <x:v>Canyon Equip.</x:v>
      </x:c>
      <x:c r="E182" s="50" t="str">
        <x:v>Canyon Equipment</x:v>
      </x:c>
      <x:c r="F182" s="50" t="str">
        <x:v>Map known supplier abbreviation</x:v>
      </x:c>
      <x:c r="G182" s="50" t="str">
        <x:v>SAFE NORMALIZATION</x:v>
      </x:c>
    </x:row>
    <x:row r="183" ht="22" customHeight="1">
      <x:c r="A183" s="50" t="str">
        <x:v>CH-0178</x:v>
      </x:c>
      <x:c r="B183" s="50" t="str">
        <x:v>IN-0058</x:v>
      </x:c>
      <x:c r="C183" s="50" t="str">
        <x:v>Part ID</x:v>
      </x:c>
      <x:c r="D183" s="50" t="str">
        <x:v>sp-1158</x:v>
      </x:c>
      <x:c r="E183" s="50" t="str">
        <x:v>SP-1158</x:v>
      </x:c>
      <x:c r="F183" s="50" t="str">
        <x:v>Format recognized SP part code</x:v>
      </x:c>
      <x:c r="G183" s="50" t="str">
        <x:v>SAFE NORMALIZATION</x:v>
      </x:c>
    </x:row>
    <x:row r="184" ht="22" customHeight="1">
      <x:c r="A184" s="50" t="str">
        <x:v>CH-0179</x:v>
      </x:c>
      <x:c r="B184" s="50" t="str">
        <x:v>IN-0058</x:v>
      </x:c>
      <x:c r="C184" s="50" t="str">
        <x:v>Storage Bin</x:v>
      </x:c>
      <x:c r="D184" s="50" t="str">
        <x:v>B4-05</x:v>
      </x:c>
      <x:c r="E184" s="50" t="str">
        <x:v>WH-B-04-05</x:v>
      </x:c>
      <x:c r="F184" s="50" t="str">
        <x:v>Expand recognized warehouse bin code</x:v>
      </x:c>
      <x:c r="G184" s="50" t="str">
        <x:v>SAFE NORMALIZATION</x:v>
      </x:c>
    </x:row>
    <x:row r="185" ht="22" customHeight="1">
      <x:c r="A185" s="50" t="str">
        <x:v>CH-0180</x:v>
      </x:c>
      <x:c r="B185" s="50" t="str">
        <x:v>IN-0059</x:v>
      </x:c>
      <x:c r="C185" s="50" t="str">
        <x:v>Storage Bin</x:v>
      </x:c>
      <x:c r="D185" s="50" t="str">
        <x:v>A4-05</x:v>
      </x:c>
      <x:c r="E185" s="50" t="str">
        <x:v>WH-A-04-05</x:v>
      </x:c>
      <x:c r="F185" s="50" t="str">
        <x:v>Expand recognized warehouse bin code</x:v>
      </x:c>
      <x:c r="G185" s="50" t="str">
        <x:v>SAFE NORMALIZATION</x:v>
      </x:c>
    </x:row>
    <x:row r="186" ht="22" customHeight="1">
      <x:c r="A186" s="50" t="str">
        <x:v>CH-0181</x:v>
      </x:c>
      <x:c r="B186" s="50" t="str">
        <x:v>IN-0059</x:v>
      </x:c>
      <x:c r="C186" s="50" t="str">
        <x:v>Unit</x:v>
      </x:c>
      <x:c r="D186" s="50" t="str">
        <x:v>pcs</x:v>
      </x:c>
      <x:c r="E186" s="50" t="str">
        <x:v>EA</x:v>
      </x:c>
      <x:c r="F186" s="50" t="str">
        <x:v>Map known unit synonym (no quantity conversion)</x:v>
      </x:c>
      <x:c r="G186" s="50" t="str">
        <x:v>SAFE NORMALIZATION</x:v>
      </x:c>
    </x:row>
    <x:row r="187" ht="22" customHeight="1">
      <x:c r="A187" s="50" t="str">
        <x:v>CH-0182</x:v>
      </x:c>
      <x:c r="B187" s="50" t="str">
        <x:v>IN-0059</x:v>
      </x:c>
      <x:c r="C187" s="50" t="str">
        <x:v>Supplier</x:v>
      </x:c>
      <x:c r="D187" s="50" t="str">
        <x:v>REDGATE SUPPLY</x:v>
      </x:c>
      <x:c r="E187" s="50" t="str">
        <x:v>Redgate Supply</x:v>
      </x:c>
      <x:c r="F187" s="50" t="str">
        <x:v>Map known supplier abbreviation</x:v>
      </x:c>
      <x:c r="G187" s="50" t="str">
        <x:v>SAFE NORMALIZATION</x:v>
      </x:c>
    </x:row>
    <x:row r="188" ht="22" customHeight="1">
      <x:c r="A188" s="50" t="str">
        <x:v>CH-0183</x:v>
      </x:c>
      <x:c r="B188" s="50" t="str">
        <x:v>IN-0060</x:v>
      </x:c>
      <x:c r="C188" s="50" t="str">
        <x:v>Unit</x:v>
      </x:c>
      <x:c r="D188" s="50" t="str">
        <x:v>pcs</x:v>
      </x:c>
      <x:c r="E188" s="50" t="str">
        <x:v>EA</x:v>
      </x:c>
      <x:c r="F188" s="50" t="str">
        <x:v>Map known unit synonym (no quantity conversion)</x:v>
      </x:c>
      <x:c r="G188" s="50" t="str">
        <x:v>SAFE NORMALIZATION</x:v>
      </x:c>
    </x:row>
    <x:row r="189" ht="22" customHeight="1">
      <x:c r="A189" s="50" t="str">
        <x:v>CH-0184</x:v>
      </x:c>
      <x:c r="B189" s="50" t="str">
        <x:v>IN-0060</x:v>
      </x:c>
      <x:c r="C189" s="50" t="str">
        <x:v>Supplier</x:v>
      </x:c>
      <x:c r="D189" s="50" t="str">
        <x:v>REDGATE SUPPLY</x:v>
      </x:c>
      <x:c r="E189" s="50" t="str">
        <x:v>Redgate Supply</x:v>
      </x:c>
      <x:c r="F189" s="50" t="str">
        <x:v>Map known supplier abbreviation</x:v>
      </x:c>
      <x:c r="G189" s="50" t="str">
        <x:v>SAFE NORMALIZATION</x:v>
      </x:c>
    </x:row>
    <x:row r="190" ht="22" customHeight="1">
      <x:c r="A190" s="50" t="str">
        <x:v>CH-0185</x:v>
      </x:c>
      <x:c r="B190" s="50" t="str">
        <x:v>IN-0062</x:v>
      </x:c>
      <x:c r="C190" s="50" t="str">
        <x:v>Part ID</x:v>
      </x:c>
      <x:c r="D190" s="50" t="str">
        <x:v>sp-1162</x:v>
      </x:c>
      <x:c r="E190" s="50" t="str">
        <x:v>SP-1162</x:v>
      </x:c>
      <x:c r="F190" s="50" t="str">
        <x:v>Format recognized SP part code</x:v>
      </x:c>
      <x:c r="G190" s="50" t="str">
        <x:v>SAFE NORMALIZATION</x:v>
      </x:c>
    </x:row>
    <x:row r="191" ht="22" customHeight="1">
      <x:c r="A191" s="50" t="str">
        <x:v>CH-0186</x:v>
      </x:c>
      <x:c r="B191" s="50" t="str">
        <x:v>IN-0062</x:v>
      </x:c>
      <x:c r="C191" s="50" t="str">
        <x:v>Category</x:v>
      </x:c>
      <x:c r="D191" s="50" t="str">
        <x:v>AIR SYS</x:v>
      </x:c>
      <x:c r="E191" s="50" t="str">
        <x:v>Pneumatics</x:v>
      </x:c>
      <x:c r="F191" s="50" t="str">
        <x:v>Map known category synonym</x:v>
      </x:c>
      <x:c r="G191" s="50" t="str">
        <x:v>SAFE NORMALIZATION</x:v>
      </x:c>
    </x:row>
    <x:row r="192" ht="22" customHeight="1">
      <x:c r="A192" s="50" t="str">
        <x:v>CH-0187</x:v>
      </x:c>
      <x:c r="B192" s="50" t="str">
        <x:v>IN-0062</x:v>
      </x:c>
      <x:c r="C192" s="50" t="str">
        <x:v>Storage Bin</x:v>
      </x:c>
      <x:c r="D192" s="50" t="str">
        <x:v>C3-01</x:v>
      </x:c>
      <x:c r="E192" s="50" t="str">
        <x:v>WH-C-03-01</x:v>
      </x:c>
      <x:c r="F192" s="50" t="str">
        <x:v>Expand recognized warehouse bin code</x:v>
      </x:c>
      <x:c r="G192" s="50" t="str">
        <x:v>SAFE NORMALIZATION</x:v>
      </x:c>
    </x:row>
    <x:row r="193" ht="22" customHeight="1">
      <x:c r="A193" s="50" t="str">
        <x:v>CH-0188</x:v>
      </x:c>
      <x:c r="B193" s="50" t="str">
        <x:v>IN-0062</x:v>
      </x:c>
      <x:c r="C193" s="50" t="str">
        <x:v>Unit</x:v>
      </x:c>
      <x:c r="D193" s="50" t="str">
        <x:v>ea</x:v>
      </x:c>
      <x:c r="E193" s="50" t="str">
        <x:v>EA</x:v>
      </x:c>
      <x:c r="F193" s="50" t="str">
        <x:v>Map known unit synonym (no quantity conversion)</x:v>
      </x:c>
      <x:c r="G193" s="50" t="str">
        <x:v>SAFE NORMALIZATION</x:v>
      </x:c>
    </x:row>
    <x:row r="194" ht="22" customHeight="1">
      <x:c r="A194" s="50" t="str">
        <x:v>CH-0189</x:v>
      </x:c>
      <x:c r="B194" s="50" t="str">
        <x:v>IN-0063</x:v>
      </x:c>
      <x:c r="C194" s="50" t="str">
        <x:v>Unit</x:v>
      </x:c>
      <x:c r="D194" s="50" t="str">
        <x:v>pair</x:v>
      </x:c>
      <x:c r="E194" s="50" t="str">
        <x:v>PAIR</x:v>
      </x:c>
      <x:c r="F194" s="50" t="str">
        <x:v>Map known unit synonym (no quantity conversion)</x:v>
      </x:c>
      <x:c r="G194" s="50" t="str">
        <x:v>SAFE NORMALIZATION</x:v>
      </x:c>
    </x:row>
    <x:row r="195" ht="22" customHeight="1">
      <x:c r="A195" s="50" t="str">
        <x:v>CH-0190</x:v>
      </x:c>
      <x:c r="B195" s="50" t="str">
        <x:v>IN-0063</x:v>
      </x:c>
      <x:c r="C195" s="50" t="str">
        <x:v>Supplier</x:v>
      </x:c>
      <x:c r="D195" s="50" t="str">
        <x:v>REDGATE SUPPLY</x:v>
      </x:c>
      <x:c r="E195" s="50" t="str">
        <x:v>Redgate Supply</x:v>
      </x:c>
      <x:c r="F195" s="50" t="str">
        <x:v>Map known supplier abbreviation</x:v>
      </x:c>
      <x:c r="G195" s="50" t="str">
        <x:v>SAFE NORMALIZATION</x:v>
      </x:c>
    </x:row>
    <x:row r="196" ht="22" customHeight="1">
      <x:c r="A196" s="50" t="str">
        <x:v>CH-0191</x:v>
      </x:c>
      <x:c r="B196" s="50" t="str">
        <x:v>IN-0064</x:v>
      </x:c>
      <x:c r="C196" s="50" t="str">
        <x:v>Part ID</x:v>
      </x:c>
      <x:c r="D196" s="50" t="str">
        <x:v>sp-1164</x:v>
      </x:c>
      <x:c r="E196" s="50" t="str">
        <x:v>SP-1164</x:v>
      </x:c>
      <x:c r="F196" s="50" t="str">
        <x:v>Format recognized SP part code</x:v>
      </x:c>
      <x:c r="G196" s="50" t="str">
        <x:v>SAFE NORMALIZATION</x:v>
      </x:c>
    </x:row>
    <x:row r="197" ht="22" customHeight="1">
      <x:c r="A197" s="50" t="str">
        <x:v>CH-0192</x:v>
      </x:c>
      <x:c r="B197" s="50" t="str">
        <x:v>IN-0064</x:v>
      </x:c>
      <x:c r="C197" s="50" t="str">
        <x:v>Part Description</x:v>
      </x:c>
      <x:c r="D197" s="50" t="str">
        <x:v> push-to-connect fitting  -  type b </x:v>
      </x:c>
      <x:c r="E197" s="50" t="str">
        <x:v>push-to-connect fitting - type b</x:v>
      </x:c>
      <x:c r="F197" s="50" t="str">
        <x:v>Trim and collapse whitespace</x:v>
      </x:c>
      <x:c r="G197" s="50" t="str">
        <x:v>SAFE NORMALIZATION</x:v>
      </x:c>
    </x:row>
    <x:row r="198" ht="22" customHeight="1">
      <x:c r="A198" s="50" t="str">
        <x:v>CH-0193</x:v>
      </x:c>
      <x:c r="B198" s="50" t="str">
        <x:v>IN-0064</x:v>
      </x:c>
      <x:c r="C198" s="50" t="str">
        <x:v>Category</x:v>
      </x:c>
      <x:c r="D198" s="50" t="str">
        <x:v>Pneumatic</x:v>
      </x:c>
      <x:c r="E198" s="50" t="str">
        <x:v>Pneumatics</x:v>
      </x:c>
      <x:c r="F198" s="50" t="str">
        <x:v>Map known category synonym</x:v>
      </x:c>
      <x:c r="G198" s="50" t="str">
        <x:v>SAFE NORMALIZATION</x:v>
      </x:c>
    </x:row>
    <x:row r="199" ht="22" customHeight="1">
      <x:c r="A199" s="50" t="str">
        <x:v>CH-0194</x:v>
      </x:c>
      <x:c r="B199" s="50" t="str">
        <x:v>IN-0064</x:v>
      </x:c>
      <x:c r="C199" s="50" t="str">
        <x:v>Unit</x:v>
      </x:c>
      <x:c r="D199" s="50" t="str">
        <x:v>box</x:v>
      </x:c>
      <x:c r="E199" s="50" t="str">
        <x:v>BOX</x:v>
      </x:c>
      <x:c r="F199" s="50" t="str">
        <x:v>Map known unit synonym (no quantity conversion)</x:v>
      </x:c>
      <x:c r="G199" s="50" t="str">
        <x:v>SAFE NORMALIZATION</x:v>
      </x:c>
    </x:row>
    <x:row r="200" ht="22" customHeight="1">
      <x:c r="A200" s="50" t="str">
        <x:v>CH-0195</x:v>
      </x:c>
      <x:c r="B200" s="50" t="str">
        <x:v>IN-0064</x:v>
      </x:c>
      <x:c r="C200" s="50" t="str">
        <x:v>Supplier</x:v>
      </x:c>
      <x:c r="D200" s="50" t="str">
        <x:v>NORTH FORGE PARTS</x:v>
      </x:c>
      <x:c r="E200" s="50" t="str">
        <x:v>North Forge Parts</x:v>
      </x:c>
      <x:c r="F200" s="50" t="str">
        <x:v>Map known supplier abbreviation</x:v>
      </x:c>
      <x:c r="G200" s="50" t="str">
        <x:v>SAFE NORMALIZATION</x:v>
      </x:c>
    </x:row>
    <x:row r="201" ht="22" customHeight="1">
      <x:c r="A201" s="50" t="str">
        <x:v>CH-0196</x:v>
      </x:c>
      <x:c r="B201" s="50" t="str">
        <x:v>IN-0065</x:v>
      </x:c>
      <x:c r="C201" s="50" t="str">
        <x:v>Part ID</x:v>
      </x:c>
      <x:c r="D201" s="50" t="str">
        <x:v>SP 1165</x:v>
      </x:c>
      <x:c r="E201" s="50" t="str">
        <x:v>SP-1165</x:v>
      </x:c>
      <x:c r="F201" s="50" t="str">
        <x:v>Format recognized SP part code</x:v>
      </x:c>
      <x:c r="G201" s="50" t="str">
        <x:v>SAFE NORMALIZATION</x:v>
      </x:c>
    </x:row>
    <x:row r="202" ht="22" customHeight="1">
      <x:c r="A202" s="50" t="str">
        <x:v>CH-0197</x:v>
      </x:c>
      <x:c r="B202" s="50" t="str">
        <x:v>IN-0065</x:v>
      </x:c>
      <x:c r="C202" s="50" t="str">
        <x:v>Category</x:v>
      </x:c>
      <x:c r="D202" s="50" t="str">
        <x:v>Pneumatic</x:v>
      </x:c>
      <x:c r="E202" s="50" t="str">
        <x:v>Pneumatics</x:v>
      </x:c>
      <x:c r="F202" s="50" t="str">
        <x:v>Map known category synonym</x:v>
      </x:c>
      <x:c r="G202" s="50" t="str">
        <x:v>SAFE NORMALIZATION</x:v>
      </x:c>
    </x:row>
    <x:row r="203" ht="22" customHeight="1">
      <x:c r="A203" s="50" t="str">
        <x:v>CH-0198</x:v>
      </x:c>
      <x:c r="B203" s="50" t="str">
        <x:v>IN-0065</x:v>
      </x:c>
      <x:c r="C203" s="50" t="str">
        <x:v>Storage Bin</x:v>
      </x:c>
      <x:c r="D203" s="50" t="str">
        <x:v>wh-d-03-02</x:v>
      </x:c>
      <x:c r="E203" s="50" t="str">
        <x:v>WH-D-03-02</x:v>
      </x:c>
      <x:c r="F203" s="50" t="str">
        <x:v>Expand recognized warehouse bin code</x:v>
      </x:c>
      <x:c r="G203" s="50" t="str">
        <x:v>SAFE NORMALIZATION</x:v>
      </x:c>
    </x:row>
    <x:row r="204" ht="22" customHeight="1">
      <x:c r="A204" s="50" t="str">
        <x:v>CH-0199</x:v>
      </x:c>
      <x:c r="B204" s="50" t="str">
        <x:v>IN-0065</x:v>
      </x:c>
      <x:c r="C204" s="50" t="str">
        <x:v>Unit</x:v>
      </x:c>
      <x:c r="D204" s="50" t="str">
        <x:v>pcs</x:v>
      </x:c>
      <x:c r="E204" s="50" t="str">
        <x:v>EA</x:v>
      </x:c>
      <x:c r="F204" s="50" t="str">
        <x:v>Map known unit synonym (no quantity conversion)</x:v>
      </x:c>
      <x:c r="G204" s="50" t="str">
        <x:v>SAFE NORMALIZATION</x:v>
      </x:c>
    </x:row>
    <x:row r="205" ht="22" customHeight="1">
      <x:c r="A205" s="50" t="str">
        <x:v>CH-0200</x:v>
      </x:c>
      <x:c r="B205" s="50" t="str">
        <x:v>IN-0065</x:v>
      </x:c>
      <x:c r="C205" s="50" t="str">
        <x:v>Last Counted</x:v>
      </x:c>
      <x:c r="D205" s="50" t="str">
        <x:v>09/24/2026</x:v>
      </x:c>
      <x:c r="E205" s="50" t="str">
        <x:v>2026-09-24</x:v>
      </x:c>
      <x:c r="F205" s="50" t="str">
        <x:v>Normalize valid calendar date</x:v>
      </x:c>
      <x:c r="G205" s="50" t="str">
        <x:v>SAFE NORMALIZATION</x:v>
      </x:c>
    </x:row>
    <x:row r="206" ht="22" customHeight="1">
      <x:c r="A206" s="50" t="str">
        <x:v>CH-0201</x:v>
      </x:c>
      <x:c r="B206" s="50" t="str">
        <x:v>IN-0066</x:v>
      </x:c>
      <x:c r="C206" s="50" t="str">
        <x:v>Category</x:v>
      </x:c>
      <x:c r="D206" s="50" t="str">
        <x:v>Pneumatic</x:v>
      </x:c>
      <x:c r="E206" s="50" t="str">
        <x:v>Pneumatics</x:v>
      </x:c>
      <x:c r="F206" s="50" t="str">
        <x:v>Map known category synonym</x:v>
      </x:c>
      <x:c r="G206" s="50" t="str">
        <x:v>SAFE NORMALIZATION</x:v>
      </x:c>
    </x:row>
    <x:row r="207" ht="22" customHeight="1">
      <x:c r="A207" s="50" t="str">
        <x:v>CH-0202</x:v>
      </x:c>
      <x:c r="B207" s="50" t="str">
        <x:v>IN-0066</x:v>
      </x:c>
      <x:c r="C207" s="50" t="str">
        <x:v>Storage Bin</x:v>
      </x:c>
      <x:c r="D207" s="50" t="str">
        <x:v>wh-d-01-04</x:v>
      </x:c>
      <x:c r="E207" s="50" t="str">
        <x:v>WH-D-01-04</x:v>
      </x:c>
      <x:c r="F207" s="50" t="str">
        <x:v>Expand recognized warehouse bin code</x:v>
      </x:c>
      <x:c r="G207" s="50" t="str">
        <x:v>SAFE NORMALIZATION</x:v>
      </x:c>
    </x:row>
    <x:row r="208" ht="22" customHeight="1">
      <x:c r="A208" s="50" t="str">
        <x:v>CH-0203</x:v>
      </x:c>
      <x:c r="B208" s="50" t="str">
        <x:v>IN-0066</x:v>
      </x:c>
      <x:c r="C208" s="50" t="str">
        <x:v>Unit</x:v>
      </x:c>
      <x:c r="D208" s="50" t="str">
        <x:v>ft</x:v>
      </x:c>
      <x:c r="E208" s="50" t="str">
        <x:v>FT</x:v>
      </x:c>
      <x:c r="F208" s="50" t="str">
        <x:v>Map known unit synonym (no quantity conversion)</x:v>
      </x:c>
      <x:c r="G208" s="50" t="str">
        <x:v>SAFE NORMALIZATION</x:v>
      </x:c>
    </x:row>
    <x:row r="209" ht="22" customHeight="1">
      <x:c r="A209" s="50" t="str">
        <x:v>CH-0204</x:v>
      </x:c>
      <x:c r="B209" s="50" t="str">
        <x:v>IN-0067</x:v>
      </x:c>
      <x:c r="C209" s="50" t="str">
        <x:v>Category</x:v>
      </x:c>
      <x:c r="D209" s="50" t="str">
        <x:v>Pneumatic</x:v>
      </x:c>
      <x:c r="E209" s="50" t="str">
        <x:v>Pneumatics</x:v>
      </x:c>
      <x:c r="F209" s="50" t="str">
        <x:v>Map known category synonym</x:v>
      </x:c>
      <x:c r="G209" s="50" t="str">
        <x:v>SAFE NORMALIZATION</x:v>
      </x:c>
    </x:row>
    <x:row r="210" ht="22" customHeight="1">
      <x:c r="A210" s="50" t="str">
        <x:v>CH-0205</x:v>
      </x:c>
      <x:c r="B210" s="50" t="str">
        <x:v>IN-0067</x:v>
      </x:c>
      <x:c r="C210" s="50" t="str">
        <x:v>Supplier</x:v>
      </x:c>
      <x:c r="D210" s="50" t="str">
        <x:v>CANYON EQUIPMENT</x:v>
      </x:c>
      <x:c r="E210" s="50" t="str">
        <x:v>Canyon Equipment</x:v>
      </x:c>
      <x:c r="F210" s="50" t="str">
        <x:v>Map known supplier abbreviation</x:v>
      </x:c>
      <x:c r="G210" s="50" t="str">
        <x:v>SAFE NORMALIZATION</x:v>
      </x:c>
    </x:row>
    <x:row r="211" ht="22" customHeight="1">
      <x:c r="A211" s="50" t="str">
        <x:v>CH-0206</x:v>
      </x:c>
      <x:c r="B211" s="50" t="str">
        <x:v>IN-0068</x:v>
      </x:c>
      <x:c r="C211" s="50" t="str">
        <x:v>Category</x:v>
      </x:c>
      <x:c r="D211" s="50" t="str">
        <x:v>AIR SYS</x:v>
      </x:c>
      <x:c r="E211" s="50" t="str">
        <x:v>Pneumatics</x:v>
      </x:c>
      <x:c r="F211" s="50" t="str">
        <x:v>Map known category synonym</x:v>
      </x:c>
      <x:c r="G211" s="50" t="str">
        <x:v>SAFE NORMALIZATION</x:v>
      </x:c>
    </x:row>
    <x:row r="212" ht="22" customHeight="1">
      <x:c r="A212" s="50" t="str">
        <x:v>CH-0207</x:v>
      </x:c>
      <x:c r="B212" s="50" t="str">
        <x:v>IN-0068</x:v>
      </x:c>
      <x:c r="C212" s="50" t="str">
        <x:v>Storage Bin</x:v>
      </x:c>
      <x:c r="D212" s="50" t="str">
        <x:v>wh-b-03-04</x:v>
      </x:c>
      <x:c r="E212" s="50" t="str">
        <x:v>WH-B-03-04</x:v>
      </x:c>
      <x:c r="F212" s="50" t="str">
        <x:v>Expand recognized warehouse bin code</x:v>
      </x:c>
      <x:c r="G212" s="50" t="str">
        <x:v>SAFE NORMALIZATION</x:v>
      </x:c>
    </x:row>
    <x:row r="213" ht="22" customHeight="1">
      <x:c r="A213" s="50" t="str">
        <x:v>CH-0208</x:v>
      </x:c>
      <x:c r="B213" s="50" t="str">
        <x:v>IN-0068</x:v>
      </x:c>
      <x:c r="C213" s="50" t="str">
        <x:v>Unit</x:v>
      </x:c>
      <x:c r="D213" s="50" t="str">
        <x:v>pcs</x:v>
      </x:c>
      <x:c r="E213" s="50" t="str">
        <x:v>EA</x:v>
      </x:c>
      <x:c r="F213" s="50" t="str">
        <x:v>Map known unit synonym (no quantity conversion)</x:v>
      </x:c>
      <x:c r="G213" s="50" t="str">
        <x:v>SAFE NORMALIZATION</x:v>
      </x:c>
    </x:row>
    <x:row r="214" ht="22" customHeight="1">
      <x:c r="A214" s="50" t="str">
        <x:v>CH-0209</x:v>
      </x:c>
      <x:c r="B214" s="50" t="str">
        <x:v>IN-0068</x:v>
      </x:c>
      <x:c r="C214" s="50" t="str">
        <x:v>Supplier</x:v>
      </x:c>
      <x:c r="D214" s="50" t="str">
        <x:v>CANYON EQUIPMENT</x:v>
      </x:c>
      <x:c r="E214" s="50" t="str">
        <x:v>Canyon Equipment</x:v>
      </x:c>
      <x:c r="F214" s="50" t="str">
        <x:v>Map known supplier abbreviation</x:v>
      </x:c>
      <x:c r="G214" s="50" t="str">
        <x:v>SAFE NORMALIZATION</x:v>
      </x:c>
    </x:row>
    <x:row r="215" ht="22" customHeight="1">
      <x:c r="A215" s="50" t="str">
        <x:v>CH-0210</x:v>
      </x:c>
      <x:c r="B215" s="50" t="str">
        <x:v>IN-0069</x:v>
      </x:c>
      <x:c r="C215" s="50" t="str">
        <x:v>Category</x:v>
      </x:c>
      <x:c r="D215" s="50" t="str">
        <x:v>AIR SYS</x:v>
      </x:c>
      <x:c r="E215" s="50" t="str">
        <x:v>Pneumatics</x:v>
      </x:c>
      <x:c r="F215" s="50" t="str">
        <x:v>Map known category synonym</x:v>
      </x:c>
      <x:c r="G215" s="50" t="str">
        <x:v>SAFE NORMALIZATION</x:v>
      </x:c>
    </x:row>
    <x:row r="216" ht="22" customHeight="1">
      <x:c r="A216" s="50" t="str">
        <x:v>CH-0211</x:v>
      </x:c>
      <x:c r="B216" s="50" t="str">
        <x:v>IN-0069</x:v>
      </x:c>
      <x:c r="C216" s="50" t="str">
        <x:v>Storage Bin</x:v>
      </x:c>
      <x:c r="D216" s="50" t="str">
        <x:v>D4-01</x:v>
      </x:c>
      <x:c r="E216" s="50" t="str">
        <x:v>WH-D-04-01</x:v>
      </x:c>
      <x:c r="F216" s="50" t="str">
        <x:v>Expand recognized warehouse bin code</x:v>
      </x:c>
      <x:c r="G216" s="50" t="str">
        <x:v>SAFE NORMALIZATION</x:v>
      </x:c>
    </x:row>
    <x:row r="217" ht="22" customHeight="1">
      <x:c r="A217" s="50" t="str">
        <x:v>CH-0212</x:v>
      </x:c>
      <x:c r="B217" s="50" t="str">
        <x:v>IN-0069</x:v>
      </x:c>
      <x:c r="C217" s="50" t="str">
        <x:v>Unit</x:v>
      </x:c>
      <x:c r="D217" s="50" t="str">
        <x:v>ea</x:v>
      </x:c>
      <x:c r="E217" s="50" t="str">
        <x:v>EA</x:v>
      </x:c>
      <x:c r="F217" s="50" t="str">
        <x:v>Map known unit synonym (no quantity conversion)</x:v>
      </x:c>
      <x:c r="G217" s="50" t="str">
        <x:v>SAFE NORMALIZATION</x:v>
      </x:c>
    </x:row>
    <x:row r="218" ht="22" customHeight="1">
      <x:c r="A218" s="50" t="str">
        <x:v>CH-0213</x:v>
      </x:c>
      <x:c r="B218" s="50" t="str">
        <x:v>IN-0069</x:v>
      </x:c>
      <x:c r="C218" s="50" t="str">
        <x:v>Supplier</x:v>
      </x:c>
      <x:c r="D218" s="50" t="str">
        <x:v>Redgate</x:v>
      </x:c>
      <x:c r="E218" s="50" t="str">
        <x:v>Redgate Supply</x:v>
      </x:c>
      <x:c r="F218" s="50" t="str">
        <x:v>Map known supplier abbreviation</x:v>
      </x:c>
      <x:c r="G218" s="50" t="str">
        <x:v>SAFE NORMALIZATION</x:v>
      </x:c>
    </x:row>
    <x:row r="219" ht="22" customHeight="1">
      <x:c r="A219" s="50" t="str">
        <x:v>CH-0214</x:v>
      </x:c>
      <x:c r="B219" s="50" t="str">
        <x:v>IN-0070</x:v>
      </x:c>
      <x:c r="C219" s="50" t="str">
        <x:v>Category</x:v>
      </x:c>
      <x:c r="D219" s="50" t="str">
        <x:v>Pneumatic</x:v>
      </x:c>
      <x:c r="E219" s="50" t="str">
        <x:v>Pneumatics</x:v>
      </x:c>
      <x:c r="F219" s="50" t="str">
        <x:v>Map known category synonym</x:v>
      </x:c>
      <x:c r="G219" s="50" t="str">
        <x:v>SAFE NORMALIZATION</x:v>
      </x:c>
    </x:row>
    <x:row r="220" ht="22" customHeight="1">
      <x:c r="A220" s="50" t="str">
        <x:v>CH-0215</x:v>
      </x:c>
      <x:c r="B220" s="50" t="str">
        <x:v>IN-0070</x:v>
      </x:c>
      <x:c r="C220" s="50" t="str">
        <x:v>Storage Bin</x:v>
      </x:c>
      <x:c r="D220" s="50" t="str">
        <x:v>wh-c-01-04</x:v>
      </x:c>
      <x:c r="E220" s="50" t="str">
        <x:v>WH-C-01-04</x:v>
      </x:c>
      <x:c r="F220" s="50" t="str">
        <x:v>Expand recognized warehouse bin code</x:v>
      </x:c>
      <x:c r="G220" s="50" t="str">
        <x:v>SAFE NORMALIZATION</x:v>
      </x:c>
    </x:row>
    <x:row r="221" ht="22" customHeight="1">
      <x:c r="A221" s="50" t="str">
        <x:v>CH-0216</x:v>
      </x:c>
      <x:c r="B221" s="50" t="str">
        <x:v>IN-0070</x:v>
      </x:c>
      <x:c r="C221" s="50" t="str">
        <x:v>Unit</x:v>
      </x:c>
      <x:c r="D221" s="50" t="str">
        <x:v>pcs</x:v>
      </x:c>
      <x:c r="E221" s="50" t="str">
        <x:v>EA</x:v>
      </x:c>
      <x:c r="F221" s="50" t="str">
        <x:v>Map known unit synonym (no quantity conversion)</x:v>
      </x:c>
      <x:c r="G221" s="50" t="str">
        <x:v>SAFE NORMALIZATION</x:v>
      </x:c>
    </x:row>
    <x:row r="222" ht="22" customHeight="1">
      <x:c r="A222" s="50" t="str">
        <x:v>CH-0217</x:v>
      </x:c>
      <x:c r="B222" s="50" t="str">
        <x:v>IN-0071</x:v>
      </x:c>
      <x:c r="C222" s="50" t="str">
        <x:v>Part ID</x:v>
      </x:c>
      <x:c r="D222" s="50" t="str">
        <x:v>SP1171</x:v>
      </x:c>
      <x:c r="E222" s="50" t="str">
        <x:v>SP-1171</x:v>
      </x:c>
      <x:c r="F222" s="50" t="str">
        <x:v>Format recognized SP part code</x:v>
      </x:c>
      <x:c r="G222" s="50" t="str">
        <x:v>SAFE NORMALIZATION</x:v>
      </x:c>
    </x:row>
    <x:row r="223" ht="22" customHeight="1">
      <x:c r="A223" s="50" t="str">
        <x:v>CH-0218</x:v>
      </x:c>
      <x:c r="B223" s="50" t="str">
        <x:v>IN-0071</x:v>
      </x:c>
      <x:c r="C223" s="50" t="str">
        <x:v>Storage Bin</x:v>
      </x:c>
      <x:c r="D223" s="50" t="str">
        <x:v>C1-03</x:v>
      </x:c>
      <x:c r="E223" s="50" t="str">
        <x:v>WH-C-01-03</x:v>
      </x:c>
      <x:c r="F223" s="50" t="str">
        <x:v>Expand recognized warehouse bin code</x:v>
      </x:c>
      <x:c r="G223" s="50" t="str">
        <x:v>SAFE NORMALIZATION</x:v>
      </x:c>
    </x:row>
    <x:row r="224" ht="22" customHeight="1">
      <x:c r="A224" s="50" t="str">
        <x:v>CH-0219</x:v>
      </x:c>
      <x:c r="B224" s="50" t="str">
        <x:v>IN-0072</x:v>
      </x:c>
      <x:c r="C224" s="50" t="str">
        <x:v>Part ID</x:v>
      </x:c>
      <x:c r="D224" s="50" t="str">
        <x:v>sp-1172</x:v>
      </x:c>
      <x:c r="E224" s="50" t="str">
        <x:v>SP-1172</x:v>
      </x:c>
      <x:c r="F224" s="50" t="str">
        <x:v>Format recognized SP part code</x:v>
      </x:c>
      <x:c r="G224" s="50" t="str">
        <x:v>SAFE NORMALIZATION</x:v>
      </x:c>
    </x:row>
    <x:row r="225" ht="22" customHeight="1">
      <x:c r="A225" s="50" t="str">
        <x:v>CH-0220</x:v>
      </x:c>
      <x:c r="B225" s="50" t="str">
        <x:v>IN-0072</x:v>
      </x:c>
      <x:c r="C225" s="50" t="str">
        <x:v>Part Description</x:v>
      </x:c>
      <x:c r="D225" s="50" t="str">
        <x:v> air hose reel  -  standard </x:v>
      </x:c>
      <x:c r="E225" s="50" t="str">
        <x:v>air hose reel - standard</x:v>
      </x:c>
      <x:c r="F225" s="50" t="str">
        <x:v>Trim and collapse whitespace</x:v>
      </x:c>
      <x:c r="G225" s="50" t="str">
        <x:v>SAFE NORMALIZATION</x:v>
      </x:c>
    </x:row>
    <x:row r="226" ht="22" customHeight="1">
      <x:c r="A226" s="50" t="str">
        <x:v>CH-0221</x:v>
      </x:c>
      <x:c r="B226" s="50" t="str">
        <x:v>IN-0072</x:v>
      </x:c>
      <x:c r="C226" s="50" t="str">
        <x:v>Category</x:v>
      </x:c>
      <x:c r="D226" s="50" t="str">
        <x:v>Pneumatic</x:v>
      </x:c>
      <x:c r="E226" s="50" t="str">
        <x:v>Pneumatics</x:v>
      </x:c>
      <x:c r="F226" s="50" t="str">
        <x:v>Map known category synonym</x:v>
      </x:c>
      <x:c r="G226" s="50" t="str">
        <x:v>SAFE NORMALIZATION</x:v>
      </x:c>
    </x:row>
    <x:row r="227" ht="22" customHeight="1">
      <x:c r="A227" s="50" t="str">
        <x:v>CH-0222</x:v>
      </x:c>
      <x:c r="B227" s="50" t="str">
        <x:v>IN-0072</x:v>
      </x:c>
      <x:c r="C227" s="50" t="str">
        <x:v>Unit</x:v>
      </x:c>
      <x:c r="D227" s="50" t="str">
        <x:v>pair</x:v>
      </x:c>
      <x:c r="E227" s="50" t="str">
        <x:v>PAIR</x:v>
      </x:c>
      <x:c r="F227" s="50" t="str">
        <x:v>Map known unit synonym (no quantity conversion)</x:v>
      </x:c>
      <x:c r="G227" s="50" t="str">
        <x:v>SAFE NORMALIZATION</x:v>
      </x:c>
    </x:row>
    <x:row r="228" ht="22" customHeight="1">
      <x:c r="A228" s="50" t="str">
        <x:v>CH-0223</x:v>
      </x:c>
      <x:c r="B228" s="50" t="str">
        <x:v>IN-0072</x:v>
      </x:c>
      <x:c r="C228" s="50" t="str">
        <x:v>Supplier</x:v>
      </x:c>
      <x:c r="D228" s="50" t="str">
        <x:v>MERIDIAN INDUSTRIAL</x:v>
      </x:c>
      <x:c r="E228" s="50" t="str">
        <x:v>Meridian Industrial</x:v>
      </x:c>
      <x:c r="F228" s="50" t="str">
        <x:v>Map known supplier abbreviation</x:v>
      </x:c>
      <x:c r="G228" s="50" t="str">
        <x:v>SAFE NORMALIZATION</x:v>
      </x:c>
    </x:row>
    <x:row r="229" ht="22" customHeight="1">
      <x:c r="A229" s="50" t="str">
        <x:v>CH-0224</x:v>
      </x:c>
      <x:c r="B229" s="50" t="str">
        <x:v>IN-0073</x:v>
      </x:c>
      <x:c r="C229" s="50" t="str">
        <x:v>Part ID</x:v>
      </x:c>
      <x:c r="D229" s="50" t="str">
        <x:v>sp-1173</x:v>
      </x:c>
      <x:c r="E229" s="50" t="str">
        <x:v>SP-1173</x:v>
      </x:c>
      <x:c r="F229" s="50" t="str">
        <x:v>Format recognized SP part code</x:v>
      </x:c>
      <x:c r="G229" s="50" t="str">
        <x:v>SAFE NORMALIZATION</x:v>
      </x:c>
    </x:row>
    <x:row r="230" ht="22" customHeight="1">
      <x:c r="A230" s="50" t="str">
        <x:v>CH-0225</x:v>
      </x:c>
      <x:c r="B230" s="50" t="str">
        <x:v>IN-0073</x:v>
      </x:c>
      <x:c r="C230" s="50" t="str">
        <x:v>Category</x:v>
      </x:c>
      <x:c r="D230" s="50" t="str">
        <x:v>Hardware</x:v>
      </x:c>
      <x:c r="E230" s="50" t="str">
        <x:v>Fasteners &amp; Hardware</x:v>
      </x:c>
      <x:c r="F230" s="50" t="str">
        <x:v>Map known category synonym</x:v>
      </x:c>
      <x:c r="G230" s="50" t="str">
        <x:v>SAFE NORMALIZATION</x:v>
      </x:c>
    </x:row>
    <x:row r="231" ht="22" customHeight="1">
      <x:c r="A231" s="50" t="str">
        <x:v>CH-0226</x:v>
      </x:c>
      <x:c r="B231" s="50" t="str">
        <x:v>IN-0073</x:v>
      </x:c>
      <x:c r="C231" s="50" t="str">
        <x:v>Storage Bin</x:v>
      </x:c>
      <x:c r="D231" s="50" t="str">
        <x:v>wh-b-02-03</x:v>
      </x:c>
      <x:c r="E231" s="50" t="str">
        <x:v>WH-B-02-03</x:v>
      </x:c>
      <x:c r="F231" s="50" t="str">
        <x:v>Expand recognized warehouse bin code</x:v>
      </x:c>
      <x:c r="G231" s="50" t="str">
        <x:v>SAFE NORMALIZATION</x:v>
      </x:c>
    </x:row>
    <x:row r="232" ht="22" customHeight="1">
      <x:c r="A232" s="50" t="str">
        <x:v>CH-0227</x:v>
      </x:c>
      <x:c r="B232" s="50" t="str">
        <x:v>IN-0074</x:v>
      </x:c>
      <x:c r="C232" s="50" t="str">
        <x:v>Category</x:v>
      </x:c>
      <x:c r="D232" s="50" t="str">
        <x:v>Hardware</x:v>
      </x:c>
      <x:c r="E232" s="50" t="str">
        <x:v>Fasteners &amp; Hardware</x:v>
      </x:c>
      <x:c r="F232" s="50" t="str">
        <x:v>Map known category synonym</x:v>
      </x:c>
      <x:c r="G232" s="50" t="str">
        <x:v>SAFE NORMALIZATION</x:v>
      </x:c>
    </x:row>
    <x:row r="233" ht="22" customHeight="1">
      <x:c r="A233" s="50" t="str">
        <x:v>CH-0228</x:v>
      </x:c>
      <x:c r="B233" s="50" t="str">
        <x:v>IN-0074</x:v>
      </x:c>
      <x:c r="C233" s="50" t="str">
        <x:v>Storage Bin</x:v>
      </x:c>
      <x:c r="D233" s="50" t="str">
        <x:v>wh-b-02-03</x:v>
      </x:c>
      <x:c r="E233" s="50" t="str">
        <x:v>WH-B-02-03</x:v>
      </x:c>
      <x:c r="F233" s="50" t="str">
        <x:v>Expand recognized warehouse bin code</x:v>
      </x:c>
      <x:c r="G233" s="50" t="str">
        <x:v>SAFE NORMALIZATION</x:v>
      </x:c>
    </x:row>
    <x:row r="234" ht="22" customHeight="1">
      <x:c r="A234" s="50" t="str">
        <x:v>CH-0229</x:v>
      </x:c>
      <x:c r="B234" s="50" t="str">
        <x:v>IN-0074</x:v>
      </x:c>
      <x:c r="C234" s="50" t="str">
        <x:v>Unit</x:v>
      </x:c>
      <x:c r="D234" s="50" t="str">
        <x:v>box</x:v>
      </x:c>
      <x:c r="E234" s="50" t="str">
        <x:v>BOX</x:v>
      </x:c>
      <x:c r="F234" s="50" t="str">
        <x:v>Map known unit synonym (no quantity conversion)</x:v>
      </x:c>
      <x:c r="G234" s="50" t="str">
        <x:v>SAFE NORMALIZATION</x:v>
      </x:c>
    </x:row>
    <x:row r="235" ht="22" customHeight="1">
      <x:c r="A235" s="50" t="str">
        <x:v>CH-0230</x:v>
      </x:c>
      <x:c r="B235" s="50" t="str">
        <x:v>IN-0074</x:v>
      </x:c>
      <x:c r="C235" s="50" t="str">
        <x:v>Supplier</x:v>
      </x:c>
      <x:c r="D235" s="50" t="str">
        <x:v>NORTH FORGE PARTS</x:v>
      </x:c>
      <x:c r="E235" s="50" t="str">
        <x:v>North Forge Parts</x:v>
      </x:c>
      <x:c r="F235" s="50" t="str">
        <x:v>Map known supplier abbreviation</x:v>
      </x:c>
      <x:c r="G235" s="50" t="str">
        <x:v>SAFE NORMALIZATION</x:v>
      </x:c>
    </x:row>
    <x:row r="236" ht="22" customHeight="1">
      <x:c r="A236" s="50" t="str">
        <x:v>CH-0231</x:v>
      </x:c>
      <x:c r="B236" s="50" t="str">
        <x:v>IN-0075</x:v>
      </x:c>
      <x:c r="C236" s="50" t="str">
        <x:v>Part ID</x:v>
      </x:c>
      <x:c r="D236" s="50" t="str">
        <x:v>sp-1175</x:v>
      </x:c>
      <x:c r="E236" s="50" t="str">
        <x:v>SP-1175</x:v>
      </x:c>
      <x:c r="F236" s="50" t="str">
        <x:v>Format recognized SP part code</x:v>
      </x:c>
      <x:c r="G236" s="50" t="str">
        <x:v>SAFE NORMALIZATION</x:v>
      </x:c>
    </x:row>
    <x:row r="237" ht="22" customHeight="1">
      <x:c r="A237" s="50" t="str">
        <x:v>CH-0232</x:v>
      </x:c>
      <x:c r="B237" s="50" t="str">
        <x:v>IN-0075</x:v>
      </x:c>
      <x:c r="C237" s="50" t="str">
        <x:v>Category</x:v>
      </x:c>
      <x:c r="D237" s="50" t="str">
        <x:v>Hardware</x:v>
      </x:c>
      <x:c r="E237" s="50" t="str">
        <x:v>Fasteners &amp; Hardware</x:v>
      </x:c>
      <x:c r="F237" s="50" t="str">
        <x:v>Map known category synonym</x:v>
      </x:c>
      <x:c r="G237" s="50" t="str">
        <x:v>SAFE NORMALIZATION</x:v>
      </x:c>
    </x:row>
    <x:row r="238" ht="22" customHeight="1">
      <x:c r="A238" s="50" t="str">
        <x:v>CH-0233</x:v>
      </x:c>
      <x:c r="B238" s="50" t="str">
        <x:v>IN-0075</x:v>
      </x:c>
      <x:c r="C238" s="50" t="str">
        <x:v>Supplier</x:v>
      </x:c>
      <x:c r="D238" s="50" t="str">
        <x:v>MERIDIAN INDUSTRIAL</x:v>
      </x:c>
      <x:c r="E238" s="50" t="str">
        <x:v>Meridian Industrial</x:v>
      </x:c>
      <x:c r="F238" s="50" t="str">
        <x:v>Map known supplier abbreviation</x:v>
      </x:c>
      <x:c r="G238" s="50" t="str">
        <x:v>SAFE NORMALIZATION</x:v>
      </x:c>
    </x:row>
    <x:row r="239" ht="22" customHeight="1">
      <x:c r="A239" s="50" t="str">
        <x:v>CH-0234</x:v>
      </x:c>
      <x:c r="B239" s="50" t="str">
        <x:v>IN-0076</x:v>
      </x:c>
      <x:c r="C239" s="50" t="str">
        <x:v>Category</x:v>
      </x:c>
      <x:c r="D239" s="50" t="str">
        <x:v>Fasteners</x:v>
      </x:c>
      <x:c r="E239" s="50" t="str">
        <x:v>Fasteners &amp; Hardware</x:v>
      </x:c>
      <x:c r="F239" s="50" t="str">
        <x:v>Map known category synonym</x:v>
      </x:c>
      <x:c r="G239" s="50" t="str">
        <x:v>SAFE NORMALIZATION</x:v>
      </x:c>
    </x:row>
    <x:row r="240" ht="22" customHeight="1">
      <x:c r="A240" s="50" t="str">
        <x:v>CH-0235</x:v>
      </x:c>
      <x:c r="B240" s="50" t="str">
        <x:v>IN-0076</x:v>
      </x:c>
      <x:c r="C240" s="50" t="str">
        <x:v>Supplier</x:v>
      </x:c>
      <x:c r="D240" s="50" t="str">
        <x:v>Canyon Equip.</x:v>
      </x:c>
      <x:c r="E240" s="50" t="str">
        <x:v>Canyon Equipment</x:v>
      </x:c>
      <x:c r="F240" s="50" t="str">
        <x:v>Map known supplier abbreviation</x:v>
      </x:c>
      <x:c r="G240" s="50" t="str">
        <x:v>SAFE NORMALIZATION</x:v>
      </x:c>
    </x:row>
    <x:row r="241" ht="22" customHeight="1">
      <x:c r="A241" s="50" t="str">
        <x:v>CH-0236</x:v>
      </x:c>
      <x:c r="B241" s="50" t="str">
        <x:v>IN-0077</x:v>
      </x:c>
      <x:c r="C241" s="50" t="str">
        <x:v>Unit</x:v>
      </x:c>
      <x:c r="D241" s="50" t="str">
        <x:v>ft</x:v>
      </x:c>
      <x:c r="E241" s="50" t="str">
        <x:v>FT</x:v>
      </x:c>
      <x:c r="F241" s="50" t="str">
        <x:v>Map known unit synonym (no quantity conversion)</x:v>
      </x:c>
      <x:c r="G241" s="50" t="str">
        <x:v>SAFE NORMALIZATION</x:v>
      </x:c>
    </x:row>
    <x:row r="242" ht="22" customHeight="1">
      <x:c r="A242" s="50" t="str">
        <x:v>CH-0237</x:v>
      </x:c>
      <x:c r="B242" s="50" t="str">
        <x:v>IN-0077</x:v>
      </x:c>
      <x:c r="C242" s="50" t="str">
        <x:v>Supplier</x:v>
      </x:c>
      <x:c r="D242" s="50" t="str">
        <x:v>CANYON EQUIPMENT</x:v>
      </x:c>
      <x:c r="E242" s="50" t="str">
        <x:v>Canyon Equipment</x:v>
      </x:c>
      <x:c r="F242" s="50" t="str">
        <x:v>Map known supplier abbreviation</x:v>
      </x:c>
      <x:c r="G242" s="50" t="str">
        <x:v>SAFE NORMALIZATION</x:v>
      </x:c>
    </x:row>
    <x:row r="243" ht="22" customHeight="1">
      <x:c r="A243" s="50" t="str">
        <x:v>CH-0238</x:v>
      </x:c>
      <x:c r="B243" s="50" t="str">
        <x:v>IN-0078</x:v>
      </x:c>
      <x:c r="C243" s="50" t="str">
        <x:v>Part ID</x:v>
      </x:c>
      <x:c r="D243" s="50" t="str">
        <x:v>SP 1178</x:v>
      </x:c>
      <x:c r="E243" s="50" t="str">
        <x:v>SP-1178</x:v>
      </x:c>
      <x:c r="F243" s="50" t="str">
        <x:v>Format recognized SP part code</x:v>
      </x:c>
      <x:c r="G243" s="50" t="str">
        <x:v>SAFE NORMALIZATION</x:v>
      </x:c>
    </x:row>
    <x:row r="244" ht="22" customHeight="1">
      <x:c r="A244" s="50" t="str">
        <x:v>CH-0239</x:v>
      </x:c>
      <x:c r="B244" s="50" t="str">
        <x:v>IN-0078</x:v>
      </x:c>
      <x:c r="C244" s="50" t="str">
        <x:v>Storage Bin</x:v>
      </x:c>
      <x:c r="D244" s="50" t="str">
        <x:v>C3-01</x:v>
      </x:c>
      <x:c r="E244" s="50" t="str">
        <x:v>WH-C-03-01</x:v>
      </x:c>
      <x:c r="F244" s="50" t="str">
        <x:v>Expand recognized warehouse bin code</x:v>
      </x:c>
      <x:c r="G244" s="50" t="str">
        <x:v>SAFE NORMALIZATION</x:v>
      </x:c>
    </x:row>
    <x:row r="245" ht="22" customHeight="1">
      <x:c r="A245" s="50" t="str">
        <x:v>CH-0240</x:v>
      </x:c>
      <x:c r="B245" s="50" t="str">
        <x:v>IN-0078</x:v>
      </x:c>
      <x:c r="C245" s="50" t="str">
        <x:v>Unit</x:v>
      </x:c>
      <x:c r="D245" s="50" t="str">
        <x:v>each</x:v>
      </x:c>
      <x:c r="E245" s="50" t="str">
        <x:v>EA</x:v>
      </x:c>
      <x:c r="F245" s="50" t="str">
        <x:v>Map known unit synonym (no quantity conversion)</x:v>
      </x:c>
      <x:c r="G245" s="50" t="str">
        <x:v>SAFE NORMALIZATION</x:v>
      </x:c>
    </x:row>
    <x:row r="246" ht="22" customHeight="1">
      <x:c r="A246" s="50" t="str">
        <x:v>CH-0241</x:v>
      </x:c>
      <x:c r="B246" s="50" t="str">
        <x:v>IN-0078</x:v>
      </x:c>
      <x:c r="C246" s="50" t="str">
        <x:v>Supplier</x:v>
      </x:c>
      <x:c r="D246" s="50" t="str">
        <x:v>Redgate</x:v>
      </x:c>
      <x:c r="E246" s="50" t="str">
        <x:v>Redgate Supply</x:v>
      </x:c>
      <x:c r="F246" s="50" t="str">
        <x:v>Map known supplier abbreviation</x:v>
      </x:c>
      <x:c r="G246" s="50" t="str">
        <x:v>SAFE NORMALIZATION</x:v>
      </x:c>
    </x:row>
    <x:row r="247" ht="22" customHeight="1">
      <x:c r="A247" s="50" t="str">
        <x:v>CH-0242</x:v>
      </x:c>
      <x:c r="B247" s="50" t="str">
        <x:v>IN-0078</x:v>
      </x:c>
      <x:c r="C247" s="50" t="str">
        <x:v>Last Counted</x:v>
      </x:c>
      <x:c r="D247" s="50" t="str">
        <x:v>08/08/2026</x:v>
      </x:c>
      <x:c r="E247" s="50" t="str">
        <x:v>2026-08-08</x:v>
      </x:c>
      <x:c r="F247" s="50" t="str">
        <x:v>Normalize valid calendar date</x:v>
      </x:c>
      <x:c r="G247" s="50" t="str">
        <x:v>SAFE NORMALIZATION</x:v>
      </x:c>
    </x:row>
    <x:row r="248" ht="22" customHeight="1">
      <x:c r="A248" s="50" t="str">
        <x:v>CH-0243</x:v>
      </x:c>
      <x:c r="B248" s="50" t="str">
        <x:v>IN-0079</x:v>
      </x:c>
      <x:c r="C248" s="50" t="str">
        <x:v>Category</x:v>
      </x:c>
      <x:c r="D248" s="50" t="str">
        <x:v>Fasteners</x:v>
      </x:c>
      <x:c r="E248" s="50" t="str">
        <x:v>Fasteners &amp; Hardware</x:v>
      </x:c>
      <x:c r="F248" s="50" t="str">
        <x:v>Map known category synonym</x:v>
      </x:c>
      <x:c r="G248" s="50" t="str">
        <x:v>SAFE NORMALIZATION</x:v>
      </x:c>
    </x:row>
    <x:row r="249" ht="22" customHeight="1">
      <x:c r="A249" s="50" t="str">
        <x:v>CH-0244</x:v>
      </x:c>
      <x:c r="B249" s="50" t="str">
        <x:v>IN-0079</x:v>
      </x:c>
      <x:c r="C249" s="50" t="str">
        <x:v>Storage Bin</x:v>
      </x:c>
      <x:c r="D249" s="50" t="str">
        <x:v>B4-02</x:v>
      </x:c>
      <x:c r="E249" s="50" t="str">
        <x:v>WH-B-04-02</x:v>
      </x:c>
      <x:c r="F249" s="50" t="str">
        <x:v>Expand recognized warehouse bin code</x:v>
      </x:c>
      <x:c r="G249" s="50" t="str">
        <x:v>SAFE NORMALIZATION</x:v>
      </x:c>
    </x:row>
    <x:row r="250" ht="22" customHeight="1">
      <x:c r="A250" s="50" t="str">
        <x:v>CH-0245</x:v>
      </x:c>
      <x:c r="B250" s="50" t="str">
        <x:v>IN-0079</x:v>
      </x:c>
      <x:c r="C250" s="50" t="str">
        <x:v>Unit</x:v>
      </x:c>
      <x:c r="D250" s="50" t="str">
        <x:v>ea</x:v>
      </x:c>
      <x:c r="E250" s="50" t="str">
        <x:v>EA</x:v>
      </x:c>
      <x:c r="F250" s="50" t="str">
        <x:v>Map known unit synonym (no quantity conversion)</x:v>
      </x:c>
      <x:c r="G250" s="50" t="str">
        <x:v>SAFE NORMALIZATION</x:v>
      </x:c>
    </x:row>
    <x:row r="251" ht="22" customHeight="1">
      <x:c r="A251" s="50" t="str">
        <x:v>CH-0246</x:v>
      </x:c>
      <x:c r="B251" s="50" t="str">
        <x:v>IN-0079</x:v>
      </x:c>
      <x:c r="C251" s="50" t="str">
        <x:v>Supplier</x:v>
      </x:c>
      <x:c r="D251" s="50" t="str">
        <x:v>Meridian Ind.</x:v>
      </x:c>
      <x:c r="E251" s="50" t="str">
        <x:v>Meridian Industrial</x:v>
      </x:c>
      <x:c r="F251" s="50" t="str">
        <x:v>Map known supplier abbreviation</x:v>
      </x:c>
      <x:c r="G251" s="50" t="str">
        <x:v>SAFE NORMALIZATION</x:v>
      </x:c>
    </x:row>
    <x:row r="252" ht="22" customHeight="1">
      <x:c r="A252" s="50" t="str">
        <x:v>CH-0247</x:v>
      </x:c>
      <x:c r="B252" s="50" t="str">
        <x:v>IN-0080</x:v>
      </x:c>
      <x:c r="C252" s="50" t="str">
        <x:v>Part Description</x:v>
      </x:c>
      <x:c r="D252" s="50" t="str">
        <x:v> lock washer  -  metric </x:v>
      </x:c>
      <x:c r="E252" s="50" t="str">
        <x:v>lock washer - metric</x:v>
      </x:c>
      <x:c r="F252" s="50" t="str">
        <x:v>Trim and collapse whitespace</x:v>
      </x:c>
      <x:c r="G252" s="50" t="str">
        <x:v>SAFE NORMALIZATION</x:v>
      </x:c>
    </x:row>
    <x:row r="253" ht="22" customHeight="1">
      <x:c r="A253" s="50" t="str">
        <x:v>CH-0248</x:v>
      </x:c>
      <x:c r="B253" s="50" t="str">
        <x:v>IN-0080</x:v>
      </x:c>
      <x:c r="C253" s="50" t="str">
        <x:v>Category</x:v>
      </x:c>
      <x:c r="D253" s="50" t="str">
        <x:v>Fasteners</x:v>
      </x:c>
      <x:c r="E253" s="50" t="str">
        <x:v>Fasteners &amp; Hardware</x:v>
      </x:c>
      <x:c r="F253" s="50" t="str">
        <x:v>Map known category synonym</x:v>
      </x:c>
      <x:c r="G253" s="50" t="str">
        <x:v>SAFE NORMALIZATION</x:v>
      </x:c>
    </x:row>
    <x:row r="254" ht="22" customHeight="1">
      <x:c r="A254" s="50" t="str">
        <x:v>CH-0249</x:v>
      </x:c>
      <x:c r="B254" s="50" t="str">
        <x:v>IN-0080</x:v>
      </x:c>
      <x:c r="C254" s="50" t="str">
        <x:v>Storage Bin</x:v>
      </x:c>
      <x:c r="D254" s="50" t="str">
        <x:v>wh-a-02-03</x:v>
      </x:c>
      <x:c r="E254" s="50" t="str">
        <x:v>WH-A-02-03</x:v>
      </x:c>
      <x:c r="F254" s="50" t="str">
        <x:v>Expand recognized warehouse bin code</x:v>
      </x:c>
      <x:c r="G254" s="50" t="str">
        <x:v>SAFE NORMALIZATION</x:v>
      </x:c>
    </x:row>
    <x:row r="255" ht="22" customHeight="1">
      <x:c r="A255" s="50" t="str">
        <x:v>CH-0250</x:v>
      </x:c>
      <x:c r="B255" s="50" t="str">
        <x:v>IN-0080</x:v>
      </x:c>
      <x:c r="C255" s="50" t="str">
        <x:v>Unit</x:v>
      </x:c>
      <x:c r="D255" s="50" t="str">
        <x:v>ea</x:v>
      </x:c>
      <x:c r="E255" s="50" t="str">
        <x:v>EA</x:v>
      </x:c>
      <x:c r="F255" s="50" t="str">
        <x:v>Map known unit synonym (no quantity conversion)</x:v>
      </x:c>
      <x:c r="G255" s="50" t="str">
        <x:v>SAFE NORMALIZATION</x:v>
      </x:c>
    </x:row>
    <x:row r="256" ht="22" customHeight="1">
      <x:c r="A256" s="50" t="str">
        <x:v>CH-0251</x:v>
      </x:c>
      <x:c r="B256" s="50" t="str">
        <x:v>IN-0080</x:v>
      </x:c>
      <x:c r="C256" s="50" t="str">
        <x:v>Supplier</x:v>
      </x:c>
      <x:c r="D256" s="50" t="str">
        <x:v>Meridian Ind.</x:v>
      </x:c>
      <x:c r="E256" s="50" t="str">
        <x:v>Meridian Industrial</x:v>
      </x:c>
      <x:c r="F256" s="50" t="str">
        <x:v>Map known supplier abbreviation</x:v>
      </x:c>
      <x:c r="G256" s="50" t="str">
        <x:v>SAFE NORMALIZATION</x:v>
      </x:c>
    </x:row>
    <x:row r="257" ht="22" customHeight="1">
      <x:c r="A257" s="50" t="str">
        <x:v>CH-0252</x:v>
      </x:c>
      <x:c r="B257" s="50" t="str">
        <x:v>IN-0081</x:v>
      </x:c>
      <x:c r="C257" s="50" t="str">
        <x:v>Category</x:v>
      </x:c>
      <x:c r="D257" s="50" t="str">
        <x:v>Fasteners</x:v>
      </x:c>
      <x:c r="E257" s="50" t="str">
        <x:v>Fasteners &amp; Hardware</x:v>
      </x:c>
      <x:c r="F257" s="50" t="str">
        <x:v>Map known category synonym</x:v>
      </x:c>
      <x:c r="G257" s="50" t="str">
        <x:v>SAFE NORMALIZATION</x:v>
      </x:c>
    </x:row>
    <x:row r="258" ht="22" customHeight="1">
      <x:c r="A258" s="50" t="str">
        <x:v>CH-0253</x:v>
      </x:c>
      <x:c r="B258" s="50" t="str">
        <x:v>IN-0081</x:v>
      </x:c>
      <x:c r="C258" s="50" t="str">
        <x:v>Storage Bin</x:v>
      </x:c>
      <x:c r="D258" s="50" t="str">
        <x:v>wh-a-01-01</x:v>
      </x:c>
      <x:c r="E258" s="50" t="str">
        <x:v>WH-A-01-01</x:v>
      </x:c>
      <x:c r="F258" s="50" t="str">
        <x:v>Expand recognized warehouse bin code</x:v>
      </x:c>
      <x:c r="G258" s="50" t="str">
        <x:v>SAFE NORMALIZATION</x:v>
      </x:c>
    </x:row>
    <x:row r="259" ht="22" customHeight="1">
      <x:c r="A259" s="50" t="str">
        <x:v>CH-0254</x:v>
      </x:c>
      <x:c r="B259" s="50" t="str">
        <x:v>IN-0082</x:v>
      </x:c>
      <x:c r="C259" s="50" t="str">
        <x:v>Unit</x:v>
      </x:c>
      <x:c r="D259" s="50" t="str">
        <x:v>box</x:v>
      </x:c>
      <x:c r="E259" s="50" t="str">
        <x:v>BOX</x:v>
      </x:c>
      <x:c r="F259" s="50" t="str">
        <x:v>Map known unit synonym (no quantity conversion)</x:v>
      </x:c>
      <x:c r="G259" s="50" t="str">
        <x:v>SAFE NORMALIZATION</x:v>
      </x:c>
    </x:row>
    <x:row r="260" ht="22" customHeight="1">
      <x:c r="A260" s="50" t="str">
        <x:v>CH-0255</x:v>
      </x:c>
      <x:c r="B260" s="50" t="str">
        <x:v>IN-0083</x:v>
      </x:c>
      <x:c r="C260" s="50" t="str">
        <x:v>Category</x:v>
      </x:c>
      <x:c r="D260" s="50" t="str">
        <x:v>Fasteners</x:v>
      </x:c>
      <x:c r="E260" s="50" t="str">
        <x:v>Fasteners &amp; Hardware</x:v>
      </x:c>
      <x:c r="F260" s="50" t="str">
        <x:v>Map known category synonym</x:v>
      </x:c>
      <x:c r="G260" s="50" t="str">
        <x:v>SAFE NORMALIZATION</x:v>
      </x:c>
    </x:row>
    <x:row r="261" ht="22" customHeight="1">
      <x:c r="A261" s="50" t="str">
        <x:v>CH-0256</x:v>
      </x:c>
      <x:c r="B261" s="50" t="str">
        <x:v>IN-0083</x:v>
      </x:c>
      <x:c r="C261" s="50" t="str">
        <x:v>Storage Bin</x:v>
      </x:c>
      <x:c r="D261" s="50" t="str">
        <x:v>wh-d-02-03</x:v>
      </x:c>
      <x:c r="E261" s="50" t="str">
        <x:v>WH-D-02-03</x:v>
      </x:c>
      <x:c r="F261" s="50" t="str">
        <x:v>Expand recognized warehouse bin code</x:v>
      </x:c>
      <x:c r="G261" s="50" t="str">
        <x:v>SAFE NORMALIZATION</x:v>
      </x:c>
    </x:row>
    <x:row r="262" ht="22" customHeight="1">
      <x:c r="A262" s="50" t="str">
        <x:v>CH-0257</x:v>
      </x:c>
      <x:c r="B262" s="50" t="str">
        <x:v>IN-0083</x:v>
      </x:c>
      <x:c r="C262" s="50" t="str">
        <x:v>Unit</x:v>
      </x:c>
      <x:c r="D262" s="50" t="str">
        <x:v>pair</x:v>
      </x:c>
      <x:c r="E262" s="50" t="str">
        <x:v>PAIR</x:v>
      </x:c>
      <x:c r="F262" s="50" t="str">
        <x:v>Map known unit synonym (no quantity conversion)</x:v>
      </x:c>
      <x:c r="G262" s="50" t="str">
        <x:v>SAFE NORMALIZATION</x:v>
      </x:c>
    </x:row>
    <x:row r="263" ht="22" customHeight="1">
      <x:c r="A263" s="50" t="str">
        <x:v>CH-0258</x:v>
      </x:c>
      <x:c r="B263" s="50" t="str">
        <x:v>IN-0084</x:v>
      </x:c>
      <x:c r="C263" s="50" t="str">
        <x:v>Storage Bin</x:v>
      </x:c>
      <x:c r="D263" s="50" t="str">
        <x:v>B4-05</x:v>
      </x:c>
      <x:c r="E263" s="50" t="str">
        <x:v>WH-B-04-05</x:v>
      </x:c>
      <x:c r="F263" s="50" t="str">
        <x:v>Expand recognized warehouse bin code</x:v>
      </x:c>
      <x:c r="G263" s="50" t="str">
        <x:v>SAFE NORMALIZATION</x:v>
      </x:c>
    </x:row>
    <x:row r="264" ht="22" customHeight="1">
      <x:c r="A264" s="50" t="str">
        <x:v>CH-0259</x:v>
      </x:c>
      <x:c r="B264" s="50" t="str">
        <x:v>IN-0085</x:v>
      </x:c>
      <x:c r="C264" s="50" t="str">
        <x:v>Category</x:v>
      </x:c>
      <x:c r="D264" s="50" t="str">
        <x:v>Filters</x:v>
      </x:c>
      <x:c r="E264" s="50" t="str">
        <x:v>Filters &amp; Fluids</x:v>
      </x:c>
      <x:c r="F264" s="50" t="str">
        <x:v>Map known category synonym</x:v>
      </x:c>
      <x:c r="G264" s="50" t="str">
        <x:v>SAFE NORMALIZATION</x:v>
      </x:c>
    </x:row>
    <x:row r="265" ht="22" customHeight="1">
      <x:c r="A265" s="50" t="str">
        <x:v>CH-0260</x:v>
      </x:c>
      <x:c r="B265" s="50" t="str">
        <x:v>IN-0085</x:v>
      </x:c>
      <x:c r="C265" s="50" t="str">
        <x:v>Storage Bin</x:v>
      </x:c>
      <x:c r="D265" s="50" t="str">
        <x:v>C1-05</x:v>
      </x:c>
      <x:c r="E265" s="50" t="str">
        <x:v>WH-C-01-05</x:v>
      </x:c>
      <x:c r="F265" s="50" t="str">
        <x:v>Expand recognized warehouse bin code</x:v>
      </x:c>
      <x:c r="G265" s="50" t="str">
        <x:v>SAFE NORMALIZATION</x:v>
      </x:c>
    </x:row>
    <x:row r="266" ht="22" customHeight="1">
      <x:c r="A266" s="50" t="str">
        <x:v>CH-0261</x:v>
      </x:c>
      <x:c r="B266" s="50" t="str">
        <x:v>IN-0085</x:v>
      </x:c>
      <x:c r="C266" s="50" t="str">
        <x:v>Unit</x:v>
      </x:c>
      <x:c r="D266" s="50" t="str">
        <x:v>ft</x:v>
      </x:c>
      <x:c r="E266" s="50" t="str">
        <x:v>FT</x:v>
      </x:c>
      <x:c r="F266" s="50" t="str">
        <x:v>Map known unit synonym (no quantity conversion)</x:v>
      </x:c>
      <x:c r="G266" s="50" t="str">
        <x:v>SAFE NORMALIZATION</x:v>
      </x:c>
    </x:row>
    <x:row r="267" ht="22" customHeight="1">
      <x:c r="A267" s="50" t="str">
        <x:v>CH-0262</x:v>
      </x:c>
      <x:c r="B267" s="50" t="str">
        <x:v>IN-0086</x:v>
      </x:c>
      <x:c r="C267" s="50" t="str">
        <x:v>Unit</x:v>
      </x:c>
      <x:c r="D267" s="50" t="str">
        <x:v>box</x:v>
      </x:c>
      <x:c r="E267" s="50" t="str">
        <x:v>BOX</x:v>
      </x:c>
      <x:c r="F267" s="50" t="str">
        <x:v>Map known unit synonym (no quantity conversion)</x:v>
      </x:c>
      <x:c r="G267" s="50" t="str">
        <x:v>SAFE NORMALIZATION</x:v>
      </x:c>
    </x:row>
    <x:row r="268" ht="22" customHeight="1">
      <x:c r="A268" s="50" t="str">
        <x:v>CH-0263</x:v>
      </x:c>
      <x:c r="B268" s="50" t="str">
        <x:v>IN-0086</x:v>
      </x:c>
      <x:c r="C268" s="50" t="str">
        <x:v>Supplier</x:v>
      </x:c>
      <x:c r="D268" s="50" t="str">
        <x:v>REDGATE SUPPLY</x:v>
      </x:c>
      <x:c r="E268" s="50" t="str">
        <x:v>Redgate Supply</x:v>
      </x:c>
      <x:c r="F268" s="50" t="str">
        <x:v>Map known supplier abbreviation</x:v>
      </x:c>
      <x:c r="G268" s="50" t="str">
        <x:v>SAFE NORMALIZATION</x:v>
      </x:c>
    </x:row>
    <x:row r="269" ht="22" customHeight="1">
      <x:c r="A269" s="50" t="str">
        <x:v>CH-0264</x:v>
      </x:c>
      <x:c r="B269" s="50" t="str">
        <x:v>IN-0087</x:v>
      </x:c>
      <x:c r="C269" s="50" t="str">
        <x:v>Category</x:v>
      </x:c>
      <x:c r="D269" s="50" t="str">
        <x:v>Lube &amp; Filters</x:v>
      </x:c>
      <x:c r="E269" s="50" t="str">
        <x:v>Filters &amp; Fluids</x:v>
      </x:c>
      <x:c r="F269" s="50" t="str">
        <x:v>Map known category synonym</x:v>
      </x:c>
      <x:c r="G269" s="50" t="str">
        <x:v>SAFE NORMALIZATION</x:v>
      </x:c>
    </x:row>
    <x:row r="270" ht="22" customHeight="1">
      <x:c r="A270" s="50" t="str">
        <x:v>CH-0265</x:v>
      </x:c>
      <x:c r="B270" s="50" t="str">
        <x:v>IN-0087</x:v>
      </x:c>
      <x:c r="C270" s="50" t="str">
        <x:v>Storage Bin</x:v>
      </x:c>
      <x:c r="D270" s="50" t="str">
        <x:v>wh-c-01-03</x:v>
      </x:c>
      <x:c r="E270" s="50" t="str">
        <x:v>WH-C-01-03</x:v>
      </x:c>
      <x:c r="F270" s="50" t="str">
        <x:v>Expand recognized warehouse bin code</x:v>
      </x:c>
      <x:c r="G270" s="50" t="str">
        <x:v>SAFE NORMALIZATION</x:v>
      </x:c>
    </x:row>
    <x:row r="271" ht="22" customHeight="1">
      <x:c r="A271" s="50" t="str">
        <x:v>CH-0266</x:v>
      </x:c>
      <x:c r="B271" s="50" t="str">
        <x:v>IN-0087</x:v>
      </x:c>
      <x:c r="C271" s="50" t="str">
        <x:v>Unit</x:v>
      </x:c>
      <x:c r="D271" s="50" t="str">
        <x:v>each</x:v>
      </x:c>
      <x:c r="E271" s="50" t="str">
        <x:v>EA</x:v>
      </x:c>
      <x:c r="F271" s="50" t="str">
        <x:v>Map known unit synonym (no quantity conversion)</x:v>
      </x:c>
      <x:c r="G271" s="50" t="str">
        <x:v>SAFE NORMALIZATION</x:v>
      </x:c>
    </x:row>
    <x:row r="272" ht="22" customHeight="1">
      <x:c r="A272" s="50" t="str">
        <x:v>CH-0267</x:v>
      </x:c>
      <x:c r="B272" s="50" t="str">
        <x:v>IN-0088</x:v>
      </x:c>
      <x:c r="C272" s="50" t="str">
        <x:v>Part Description</x:v>
      </x:c>
      <x:c r="D272" s="50" t="str">
        <x:v> coolant strainer  -  series 2 </x:v>
      </x:c>
      <x:c r="E272" s="50" t="str">
        <x:v>coolant strainer - series 2</x:v>
      </x:c>
      <x:c r="F272" s="50" t="str">
        <x:v>Trim and collapse whitespace</x:v>
      </x:c>
      <x:c r="G272" s="50" t="str">
        <x:v>SAFE NORMALIZATION</x:v>
      </x:c>
    </x:row>
    <x:row r="273" ht="22" customHeight="1">
      <x:c r="A273" s="50" t="str">
        <x:v>CH-0268</x:v>
      </x:c>
      <x:c r="B273" s="50" t="str">
        <x:v>IN-0088</x:v>
      </x:c>
      <x:c r="C273" s="50" t="str">
        <x:v>Storage Bin</x:v>
      </x:c>
      <x:c r="D273" s="50" t="str">
        <x:v>A4-05</x:v>
      </x:c>
      <x:c r="E273" s="50" t="str">
        <x:v>WH-A-04-05</x:v>
      </x:c>
      <x:c r="F273" s="50" t="str">
        <x:v>Expand recognized warehouse bin code</x:v>
      </x:c>
      <x:c r="G273" s="50" t="str">
        <x:v>SAFE NORMALIZATION</x:v>
      </x:c>
    </x:row>
    <x:row r="274" ht="22" customHeight="1">
      <x:c r="A274" s="50" t="str">
        <x:v>CH-0269</x:v>
      </x:c>
      <x:c r="B274" s="50" t="str">
        <x:v>IN-0088</x:v>
      </x:c>
      <x:c r="C274" s="50" t="str">
        <x:v>Unit</x:v>
      </x:c>
      <x:c r="D274" s="50" t="str">
        <x:v>box</x:v>
      </x:c>
      <x:c r="E274" s="50" t="str">
        <x:v>BOX</x:v>
      </x:c>
      <x:c r="F274" s="50" t="str">
        <x:v>Map known unit synonym (no quantity conversion)</x:v>
      </x:c>
      <x:c r="G274" s="50" t="str">
        <x:v>SAFE NORMALIZATION</x:v>
      </x:c>
    </x:row>
    <x:row r="275" ht="22" customHeight="1">
      <x:c r="A275" s="50" t="str">
        <x:v>CH-0270</x:v>
      </x:c>
      <x:c r="B275" s="50" t="str">
        <x:v>IN-0089</x:v>
      </x:c>
      <x:c r="C275" s="50" t="str">
        <x:v>Category</x:v>
      </x:c>
      <x:c r="D275" s="50" t="str">
        <x:v>Filters</x:v>
      </x:c>
      <x:c r="E275" s="50" t="str">
        <x:v>Filters &amp; Fluids</x:v>
      </x:c>
      <x:c r="F275" s="50" t="str">
        <x:v>Map known category synonym</x:v>
      </x:c>
      <x:c r="G275" s="50" t="str">
        <x:v>SAFE NORMALIZATION</x:v>
      </x:c>
    </x:row>
    <x:row r="276" ht="22" customHeight="1">
      <x:c r="A276" s="50" t="str">
        <x:v>CH-0271</x:v>
      </x:c>
      <x:c r="B276" s="50" t="str">
        <x:v>IN-0089</x:v>
      </x:c>
      <x:c r="C276" s="50" t="str">
        <x:v>Unit</x:v>
      </x:c>
      <x:c r="D276" s="50" t="str">
        <x:v>ft</x:v>
      </x:c>
      <x:c r="E276" s="50" t="str">
        <x:v>FT</x:v>
      </x:c>
      <x:c r="F276" s="50" t="str">
        <x:v>Map known unit synonym (no quantity conversion)</x:v>
      </x:c>
      <x:c r="G276" s="50" t="str">
        <x:v>SAFE NORMALIZATION</x:v>
      </x:c>
    </x:row>
    <x:row r="277" ht="22" customHeight="1">
      <x:c r="A277" s="50" t="str">
        <x:v>CH-0272</x:v>
      </x:c>
      <x:c r="B277" s="50" t="str">
        <x:v>IN-0090</x:v>
      </x:c>
      <x:c r="C277" s="50" t="str">
        <x:v>Category</x:v>
      </x:c>
      <x:c r="D277" s="50" t="str">
        <x:v>Lube &amp; Filters</x:v>
      </x:c>
      <x:c r="E277" s="50" t="str">
        <x:v>Filters &amp; Fluids</x:v>
      </x:c>
      <x:c r="F277" s="50" t="str">
        <x:v>Map known category synonym</x:v>
      </x:c>
      <x:c r="G277" s="50" t="str">
        <x:v>SAFE NORMALIZATION</x:v>
      </x:c>
    </x:row>
    <x:row r="278" ht="22" customHeight="1">
      <x:c r="A278" s="50" t="str">
        <x:v>CH-0273</x:v>
      </x:c>
      <x:c r="B278" s="50" t="str">
        <x:v>IN-0090</x:v>
      </x:c>
      <x:c r="C278" s="50" t="str">
        <x:v>Storage Bin</x:v>
      </x:c>
      <x:c r="D278" s="50" t="str">
        <x:v>A2-02</x:v>
      </x:c>
      <x:c r="E278" s="50" t="str">
        <x:v>WH-A-02-02</x:v>
      </x:c>
      <x:c r="F278" s="50" t="str">
        <x:v>Expand recognized warehouse bin code</x:v>
      </x:c>
      <x:c r="G278" s="50" t="str">
        <x:v>SAFE NORMALIZATION</x:v>
      </x:c>
    </x:row>
    <x:row r="279" ht="22" customHeight="1">
      <x:c r="A279" s="50" t="str">
        <x:v>CH-0274</x:v>
      </x:c>
      <x:c r="B279" s="50" t="str">
        <x:v>IN-0090</x:v>
      </x:c>
      <x:c r="C279" s="50" t="str">
        <x:v>Unit</x:v>
      </x:c>
      <x:c r="D279" s="50" t="str">
        <x:v>pcs</x:v>
      </x:c>
      <x:c r="E279" s="50" t="str">
        <x:v>EA</x:v>
      </x:c>
      <x:c r="F279" s="50" t="str">
        <x:v>Map known unit synonym (no quantity conversion)</x:v>
      </x:c>
      <x:c r="G279" s="50" t="str">
        <x:v>SAFE NORMALIZATION</x:v>
      </x:c>
    </x:row>
    <x:row r="280" ht="22" customHeight="1">
      <x:c r="A280" s="50" t="str">
        <x:v>CH-0275</x:v>
      </x:c>
      <x:c r="B280" s="50" t="str">
        <x:v>IN-0090</x:v>
      </x:c>
      <x:c r="C280" s="50" t="str">
        <x:v>Supplier</x:v>
      </x:c>
      <x:c r="D280" s="50" t="str">
        <x:v>Canyon Equip.</x:v>
      </x:c>
      <x:c r="E280" s="50" t="str">
        <x:v>Canyon Equipment</x:v>
      </x:c>
      <x:c r="F280" s="50" t="str">
        <x:v>Map known supplier abbreviation</x:v>
      </x:c>
      <x:c r="G280" s="50" t="str">
        <x:v>SAFE NORMALIZATION</x:v>
      </x:c>
    </x:row>
    <x:row r="281" ht="22" customHeight="1">
      <x:c r="A281" s="50" t="str">
        <x:v>CH-0276</x:v>
      </x:c>
      <x:c r="B281" s="50" t="str">
        <x:v>IN-0091</x:v>
      </x:c>
      <x:c r="C281" s="50" t="str">
        <x:v>Storage Bin</x:v>
      </x:c>
      <x:c r="D281" s="50" t="str">
        <x:v>wh-d-02-01</x:v>
      </x:c>
      <x:c r="E281" s="50" t="str">
        <x:v>WH-D-02-01</x:v>
      </x:c>
      <x:c r="F281" s="50" t="str">
        <x:v>Expand recognized warehouse bin code</x:v>
      </x:c>
      <x:c r="G281" s="50" t="str">
        <x:v>SAFE NORMALIZATION</x:v>
      </x:c>
    </x:row>
    <x:row r="282" ht="22" customHeight="1">
      <x:c r="A282" s="50" t="str">
        <x:v>CH-0277</x:v>
      </x:c>
      <x:c r="B282" s="50" t="str">
        <x:v>IN-0091</x:v>
      </x:c>
      <x:c r="C282" s="50" t="str">
        <x:v>Unit</x:v>
      </x:c>
      <x:c r="D282" s="50" t="str">
        <x:v>pair</x:v>
      </x:c>
      <x:c r="E282" s="50" t="str">
        <x:v>PAIR</x:v>
      </x:c>
      <x:c r="F282" s="50" t="str">
        <x:v>Map known unit synonym (no quantity conversion)</x:v>
      </x:c>
      <x:c r="G282" s="50" t="str">
        <x:v>SAFE NORMALIZATION</x:v>
      </x:c>
    </x:row>
    <x:row r="283" ht="22" customHeight="1">
      <x:c r="A283" s="50" t="str">
        <x:v>CH-0278</x:v>
      </x:c>
      <x:c r="B283" s="50" t="str">
        <x:v>IN-0091</x:v>
      </x:c>
      <x:c r="C283" s="50" t="str">
        <x:v>Supplier</x:v>
      </x:c>
      <x:c r="D283" s="50" t="str">
        <x:v>REDGATE SUPPLY</x:v>
      </x:c>
      <x:c r="E283" s="50" t="str">
        <x:v>Redgate Supply</x:v>
      </x:c>
      <x:c r="F283" s="50" t="str">
        <x:v>Map known supplier abbreviation</x:v>
      </x:c>
      <x:c r="G283" s="50" t="str">
        <x:v>SAFE NORMALIZATION</x:v>
      </x:c>
    </x:row>
    <x:row r="284" ht="22" customHeight="1">
      <x:c r="A284" s="50" t="str">
        <x:v>CH-0279</x:v>
      </x:c>
      <x:c r="B284" s="50" t="str">
        <x:v>IN-0091</x:v>
      </x:c>
      <x:c r="C284" s="50" t="str">
        <x:v>Last Counted</x:v>
      </x:c>
      <x:c r="D284" s="50" t="str">
        <x:v>09/28/2026</x:v>
      </x:c>
      <x:c r="E284" s="50" t="str">
        <x:v>2026-09-28</x:v>
      </x:c>
      <x:c r="F284" s="50" t="str">
        <x:v>Normalize valid calendar date</x:v>
      </x:c>
      <x:c r="G284" s="50" t="str">
        <x:v>SAFE NORMALIZATION</x:v>
      </x:c>
    </x:row>
    <x:row r="285" ht="22" customHeight="1">
      <x:c r="A285" s="50" t="str">
        <x:v>CH-0280</x:v>
      </x:c>
      <x:c r="B285" s="50" t="str">
        <x:v>IN-0092</x:v>
      </x:c>
      <x:c r="C285" s="50" t="str">
        <x:v>Category</x:v>
      </x:c>
      <x:c r="D285" s="50" t="str">
        <x:v>Filters</x:v>
      </x:c>
      <x:c r="E285" s="50" t="str">
        <x:v>Filters &amp; Fluids</x:v>
      </x:c>
      <x:c r="F285" s="50" t="str">
        <x:v>Map known category synonym</x:v>
      </x:c>
      <x:c r="G285" s="50" t="str">
        <x:v>SAFE NORMALIZATION</x:v>
      </x:c>
    </x:row>
    <x:row r="286" ht="22" customHeight="1">
      <x:c r="A286" s="50" t="str">
        <x:v>CH-0281</x:v>
      </x:c>
      <x:c r="B286" s="50" t="str">
        <x:v>IN-0092</x:v>
      </x:c>
      <x:c r="C286" s="50" t="str">
        <x:v>Storage Bin</x:v>
      </x:c>
      <x:c r="D286" s="50" t="str">
        <x:v>D3-05</x:v>
      </x:c>
      <x:c r="E286" s="50" t="str">
        <x:v>WH-D-03-05</x:v>
      </x:c>
      <x:c r="F286" s="50" t="str">
        <x:v>Expand recognized warehouse bin code</x:v>
      </x:c>
      <x:c r="G286" s="50" t="str">
        <x:v>SAFE NORMALIZATION</x:v>
      </x:c>
    </x:row>
    <x:row r="287" ht="22" customHeight="1">
      <x:c r="A287" s="50" t="str">
        <x:v>CH-0282</x:v>
      </x:c>
      <x:c r="B287" s="50" t="str">
        <x:v>IN-0092</x:v>
      </x:c>
      <x:c r="C287" s="50" t="str">
        <x:v>Unit</x:v>
      </x:c>
      <x:c r="D287" s="50" t="str">
        <x:v>ea</x:v>
      </x:c>
      <x:c r="E287" s="50" t="str">
        <x:v>EA</x:v>
      </x:c>
      <x:c r="F287" s="50" t="str">
        <x:v>Map known unit synonym (no quantity conversion)</x:v>
      </x:c>
      <x:c r="G287" s="50" t="str">
        <x:v>SAFE NORMALIZATION</x:v>
      </x:c>
    </x:row>
    <x:row r="288" ht="22" customHeight="1">
      <x:c r="A288" s="50" t="str">
        <x:v>CH-0283</x:v>
      </x:c>
      <x:c r="B288" s="50" t="str">
        <x:v>IN-0093</x:v>
      </x:c>
      <x:c r="C288" s="50" t="str">
        <x:v>Storage Bin</x:v>
      </x:c>
      <x:c r="D288" s="50" t="str">
        <x:v>wh-a-01-03</x:v>
      </x:c>
      <x:c r="E288" s="50" t="str">
        <x:v>WH-A-01-03</x:v>
      </x:c>
      <x:c r="F288" s="50" t="str">
        <x:v>Expand recognized warehouse bin code</x:v>
      </x:c>
      <x:c r="G288" s="50" t="str">
        <x:v>SAFE NORMALIZATION</x:v>
      </x:c>
    </x:row>
    <x:row r="289" ht="22" customHeight="1">
      <x:c r="A289" s="50" t="str">
        <x:v>CH-0284</x:v>
      </x:c>
      <x:c r="B289" s="50" t="str">
        <x:v>IN-0094</x:v>
      </x:c>
      <x:c r="C289" s="50" t="str">
        <x:v>Category</x:v>
      </x:c>
      <x:c r="D289" s="50" t="str">
        <x:v>Lube &amp; Filters</x:v>
      </x:c>
      <x:c r="E289" s="50" t="str">
        <x:v>Filters &amp; Fluids</x:v>
      </x:c>
      <x:c r="F289" s="50" t="str">
        <x:v>Map known category synonym</x:v>
      </x:c>
      <x:c r="G289" s="50" t="str">
        <x:v>SAFE NORMALIZATION</x:v>
      </x:c>
    </x:row>
    <x:row r="290" ht="22" customHeight="1">
      <x:c r="A290" s="50" t="str">
        <x:v>CH-0285</x:v>
      </x:c>
      <x:c r="B290" s="50" t="str">
        <x:v>IN-0094</x:v>
      </x:c>
      <x:c r="C290" s="50" t="str">
        <x:v>Supplier</x:v>
      </x:c>
      <x:c r="D290" s="50" t="str">
        <x:v>Meridian Ind.</x:v>
      </x:c>
      <x:c r="E290" s="50" t="str">
        <x:v>Meridian Industrial</x:v>
      </x:c>
      <x:c r="F290" s="50" t="str">
        <x:v>Map known supplier abbreviation</x:v>
      </x:c>
      <x:c r="G290" s="50" t="str">
        <x:v>SAFE NORMALIZATION</x:v>
      </x:c>
    </x:row>
    <x:row r="291" ht="22" customHeight="1">
      <x:c r="A291" s="50" t="str">
        <x:v>CH-0286</x:v>
      </x:c>
      <x:c r="B291" s="50" t="str">
        <x:v>IN-0095</x:v>
      </x:c>
      <x:c r="C291" s="50" t="str">
        <x:v>Part ID</x:v>
      </x:c>
      <x:c r="D291" s="50" t="str">
        <x:v>sp-1195</x:v>
      </x:c>
      <x:c r="E291" s="50" t="str">
        <x:v>SP-1195</x:v>
      </x:c>
      <x:c r="F291" s="50" t="str">
        <x:v>Format recognized SP part code</x:v>
      </x:c>
      <x:c r="G291" s="50" t="str">
        <x:v>SAFE NORMALIZATION</x:v>
      </x:c>
    </x:row>
    <x:row r="292" ht="22" customHeight="1">
      <x:c r="A292" s="50" t="str">
        <x:v>CH-0287</x:v>
      </x:c>
      <x:c r="B292" s="50" t="str">
        <x:v>IN-0095</x:v>
      </x:c>
      <x:c r="C292" s="50" t="str">
        <x:v>Category</x:v>
      </x:c>
      <x:c r="D292" s="50" t="str">
        <x:v>Lube &amp; Filters</x:v>
      </x:c>
      <x:c r="E292" s="50" t="str">
        <x:v>Filters &amp; Fluids</x:v>
      </x:c>
      <x:c r="F292" s="50" t="str">
        <x:v>Map known category synonym</x:v>
      </x:c>
      <x:c r="G292" s="50" t="str">
        <x:v>SAFE NORMALIZATION</x:v>
      </x:c>
    </x:row>
    <x:row r="293" ht="22" customHeight="1">
      <x:c r="A293" s="50" t="str">
        <x:v>CH-0288</x:v>
      </x:c>
      <x:c r="B293" s="50" t="str">
        <x:v>IN-0095</x:v>
      </x:c>
      <x:c r="C293" s="50" t="str">
        <x:v>Unit</x:v>
      </x:c>
      <x:c r="D293" s="50" t="str">
        <x:v>each</x:v>
      </x:c>
      <x:c r="E293" s="50" t="str">
        <x:v>EA</x:v>
      </x:c>
      <x:c r="F293" s="50" t="str">
        <x:v>Map known unit synonym (no quantity conversion)</x:v>
      </x:c>
      <x:c r="G293" s="50" t="str">
        <x:v>SAFE NORMALIZATION</x:v>
      </x:c>
    </x:row>
    <x:row r="294" ht="22" customHeight="1">
      <x:c r="A294" s="50" t="str">
        <x:v>CH-0289</x:v>
      </x:c>
      <x:c r="B294" s="50" t="str">
        <x:v>IN-0095</x:v>
      </x:c>
      <x:c r="C294" s="50" t="str">
        <x:v>Supplier</x:v>
      </x:c>
      <x:c r="D294" s="50" t="str">
        <x:v>Canyon Equip.</x:v>
      </x:c>
      <x:c r="E294" s="50" t="str">
        <x:v>Canyon Equipment</x:v>
      </x:c>
      <x:c r="F294" s="50" t="str">
        <x:v>Map known supplier abbreviation</x:v>
      </x:c>
      <x:c r="G294" s="50" t="str">
        <x:v>SAFE NORMALIZATION</x:v>
      </x:c>
    </x:row>
    <x:row r="295" ht="22" customHeight="1">
      <x:c r="A295" s="50" t="str">
        <x:v>CH-0290</x:v>
      </x:c>
      <x:c r="B295" s="50" t="str">
        <x:v>IN-0096</x:v>
      </x:c>
      <x:c r="C295" s="50" t="str">
        <x:v>Part ID</x:v>
      </x:c>
      <x:c r="D295" s="50" t="str">
        <x:v>SP 1196</x:v>
      </x:c>
      <x:c r="E295" s="50" t="str">
        <x:v>SP-1196</x:v>
      </x:c>
      <x:c r="F295" s="50" t="str">
        <x:v>Format recognized SP part code</x:v>
      </x:c>
      <x:c r="G295" s="50" t="str">
        <x:v>SAFE NORMALIZATION</x:v>
      </x:c>
    </x:row>
    <x:row r="296" ht="22" customHeight="1">
      <x:c r="A296" s="50" t="str">
        <x:v>CH-0291</x:v>
      </x:c>
      <x:c r="B296" s="50" t="str">
        <x:v>IN-0096</x:v>
      </x:c>
      <x:c r="C296" s="50" t="str">
        <x:v>Part Description</x:v>
      </x:c>
      <x:c r="D296" s="50" t="str">
        <x:v> cooling fan filter  -  standard </x:v>
      </x:c>
      <x:c r="E296" s="50" t="str">
        <x:v>cooling fan filter - standard</x:v>
      </x:c>
      <x:c r="F296" s="50" t="str">
        <x:v>Trim and collapse whitespace</x:v>
      </x:c>
      <x:c r="G296" s="50" t="str">
        <x:v>SAFE NORMALIZATION</x:v>
      </x:c>
    </x:row>
    <x:row r="297" ht="22" customHeight="1">
      <x:c r="A297" s="50" t="str">
        <x:v>CH-0292</x:v>
      </x:c>
      <x:c r="B297" s="50" t="str">
        <x:v>IN-0096</x:v>
      </x:c>
      <x:c r="C297" s="50" t="str">
        <x:v>Unit</x:v>
      </x:c>
      <x:c r="D297" s="50" t="str">
        <x:v>each</x:v>
      </x:c>
      <x:c r="E297" s="50" t="str">
        <x:v>EA</x:v>
      </x:c>
      <x:c r="F297" s="50" t="str">
        <x:v>Map known unit synonym (no quantity conversion)</x:v>
      </x:c>
      <x:c r="G297" s="50" t="str">
        <x:v>SAFE NORMALIZATION</x:v>
      </x:c>
    </x:row>
    <x:row r="298" ht="22" customHeight="1">
      <x:c r="A298" s="50" t="str">
        <x:v>CH-0293</x:v>
      </x:c>
      <x:c r="B298" s="50" t="str">
        <x:v>IN-0096</x:v>
      </x:c>
      <x:c r="C298" s="50" t="str">
        <x:v>Supplier</x:v>
      </x:c>
      <x:c r="D298" s="50" t="str">
        <x:v>CANYON EQUIPMENT</x:v>
      </x:c>
      <x:c r="E298" s="50" t="str">
        <x:v>Canyon Equipment</x:v>
      </x:c>
      <x:c r="F298" s="50" t="str">
        <x:v>Map known supplier abbreviation</x:v>
      </x:c>
      <x:c r="G298" s="50" t="str">
        <x:v>SAFE NORMALIZATION</x:v>
      </x:c>
    </x:row>
    <x:row r="299" ht="22" customHeight="1">
      <x:c r="A299" s="50" t="str">
        <x:v>CH-0294</x:v>
      </x:c>
      <x:c r="B299" s="50" t="str">
        <x:v>IN-0097</x:v>
      </x:c>
      <x:c r="C299" s="50" t="str">
        <x:v>Part ID</x:v>
      </x:c>
      <x:c r="D299" s="50" t="str">
        <x:v>SP1197</x:v>
      </x:c>
      <x:c r="E299" s="50" t="str">
        <x:v>SP-1197</x:v>
      </x:c>
      <x:c r="F299" s="50" t="str">
        <x:v>Format recognized SP part code</x:v>
      </x:c>
      <x:c r="G299" s="50" t="str">
        <x:v>SAFE NORMALIZATION</x:v>
      </x:c>
    </x:row>
    <x:row r="300" ht="22" customHeight="1">
      <x:c r="A300" s="50" t="str">
        <x:v>CH-0295</x:v>
      </x:c>
      <x:c r="B300" s="50" t="str">
        <x:v>IN-0097</x:v>
      </x:c>
      <x:c r="C300" s="50" t="str">
        <x:v>Category</x:v>
      </x:c>
      <x:c r="D300" s="50" t="str">
        <x:v>Safety</x:v>
      </x:c>
      <x:c r="E300" s="50" t="str">
        <x:v>Safety &amp; Maintenance</x:v>
      </x:c>
      <x:c r="F300" s="50" t="str">
        <x:v>Map known category synonym</x:v>
      </x:c>
      <x:c r="G300" s="50" t="str">
        <x:v>SAFE NORMALIZATION</x:v>
      </x:c>
    </x:row>
    <x:row r="301" ht="22" customHeight="1">
      <x:c r="A301" s="50" t="str">
        <x:v>CH-0296</x:v>
      </x:c>
      <x:c r="B301" s="50" t="str">
        <x:v>IN-0097</x:v>
      </x:c>
      <x:c r="C301" s="50" t="str">
        <x:v>Unit</x:v>
      </x:c>
      <x:c r="D301" s="50" t="str">
        <x:v>pcs</x:v>
      </x:c>
      <x:c r="E301" s="50" t="str">
        <x:v>EA</x:v>
      </x:c>
      <x:c r="F301" s="50" t="str">
        <x:v>Map known unit synonym (no quantity conversion)</x:v>
      </x:c>
      <x:c r="G301" s="50" t="str">
        <x:v>SAFE NORMALIZATION</x:v>
      </x:c>
    </x:row>
    <x:row r="302" ht="22" customHeight="1">
      <x:c r="A302" s="50" t="str">
        <x:v>CH-0297</x:v>
      </x:c>
      <x:c r="B302" s="50" t="str">
        <x:v>IN-0097</x:v>
      </x:c>
      <x:c r="C302" s="50" t="str">
        <x:v>Supplier</x:v>
      </x:c>
      <x:c r="D302" s="50" t="str">
        <x:v>REDGATE SUPPLY</x:v>
      </x:c>
      <x:c r="E302" s="50" t="str">
        <x:v>Redgate Supply</x:v>
      </x:c>
      <x:c r="F302" s="50" t="str">
        <x:v>Map known supplier abbreviation</x:v>
      </x:c>
      <x:c r="G302" s="50" t="str">
        <x:v>SAFE NORMALIZATION</x:v>
      </x:c>
    </x:row>
    <x:row r="303" ht="22" customHeight="1">
      <x:c r="A303" s="50" t="str">
        <x:v>CH-0298</x:v>
      </x:c>
      <x:c r="B303" s="50" t="str">
        <x:v>IN-0098</x:v>
      </x:c>
      <x:c r="C303" s="50" t="str">
        <x:v>Part ID</x:v>
      </x:c>
      <x:c r="D303" s="50" t="str">
        <x:v>SP 1198</x:v>
      </x:c>
      <x:c r="E303" s="50" t="str">
        <x:v>SP-1198</x:v>
      </x:c>
      <x:c r="F303" s="50" t="str">
        <x:v>Format recognized SP part code</x:v>
      </x:c>
      <x:c r="G303" s="50" t="str">
        <x:v>SAFE NORMALIZATION</x:v>
      </x:c>
    </x:row>
    <x:row r="304" ht="22" customHeight="1">
      <x:c r="A304" s="50" t="str">
        <x:v>CH-0299</x:v>
      </x:c>
      <x:c r="B304" s="50" t="str">
        <x:v>IN-0098</x:v>
      </x:c>
      <x:c r="C304" s="50" t="str">
        <x:v>Category</x:v>
      </x:c>
      <x:c r="D304" s="50" t="str">
        <x:v>Maintenance Safety</x:v>
      </x:c>
      <x:c r="E304" s="50" t="str">
        <x:v>Safety &amp; Maintenance</x:v>
      </x:c>
      <x:c r="F304" s="50" t="str">
        <x:v>Map known category synonym</x:v>
      </x:c>
      <x:c r="G304" s="50" t="str">
        <x:v>SAFE NORMALIZATION</x:v>
      </x:c>
    </x:row>
    <x:row r="305" ht="22" customHeight="1">
      <x:c r="A305" s="50" t="str">
        <x:v>CH-0300</x:v>
      </x:c>
      <x:c r="B305" s="50" t="str">
        <x:v>IN-0098</x:v>
      </x:c>
      <x:c r="C305" s="50" t="str">
        <x:v>Storage Bin</x:v>
      </x:c>
      <x:c r="D305" s="50" t="str">
        <x:v>C3-02</x:v>
      </x:c>
      <x:c r="E305" s="50" t="str">
        <x:v>WH-C-03-02</x:v>
      </x:c>
      <x:c r="F305" s="50" t="str">
        <x:v>Expand recognized warehouse bin code</x:v>
      </x:c>
      <x:c r="G305" s="50" t="str">
        <x:v>SAFE NORMALIZATION</x:v>
      </x:c>
    </x:row>
    <x:row r="306" ht="22" customHeight="1">
      <x:c r="A306" s="50" t="str">
        <x:v>CH-0301</x:v>
      </x:c>
      <x:c r="B306" s="50" t="str">
        <x:v>IN-0098</x:v>
      </x:c>
      <x:c r="C306" s="50" t="str">
        <x:v>Supplier</x:v>
      </x:c>
      <x:c r="D306" s="50" t="str">
        <x:v>CANYON EQUIPMENT</x:v>
      </x:c>
      <x:c r="E306" s="50" t="str">
        <x:v>Canyon Equipment</x:v>
      </x:c>
      <x:c r="F306" s="50" t="str">
        <x:v>Map known supplier abbreviation</x:v>
      </x:c>
      <x:c r="G306" s="50" t="str">
        <x:v>SAFE NORMALIZATION</x:v>
      </x:c>
    </x:row>
    <x:row r="307" ht="22" customHeight="1">
      <x:c r="A307" s="50" t="str">
        <x:v>CH-0302</x:v>
      </x:c>
      <x:c r="B307" s="50" t="str">
        <x:v>IN-0099</x:v>
      </x:c>
      <x:c r="C307" s="50" t="str">
        <x:v>Storage Bin</x:v>
      </x:c>
      <x:c r="D307" s="50" t="str">
        <x:v>wh-a-03-03</x:v>
      </x:c>
      <x:c r="E307" s="50" t="str">
        <x:v>WH-A-03-03</x:v>
      </x:c>
      <x:c r="F307" s="50" t="str">
        <x:v>Expand recognized warehouse bin code</x:v>
      </x:c>
      <x:c r="G307" s="50" t="str">
        <x:v>SAFE NORMALIZATION</x:v>
      </x:c>
    </x:row>
    <x:row r="308" ht="22" customHeight="1">
      <x:c r="A308" s="50" t="str">
        <x:v>CH-0303</x:v>
      </x:c>
      <x:c r="B308" s="50" t="str">
        <x:v>IN-0099</x:v>
      </x:c>
      <x:c r="C308" s="50" t="str">
        <x:v>Supplier</x:v>
      </x:c>
      <x:c r="D308" s="50" t="str">
        <x:v>REDGATE SUPPLY</x:v>
      </x:c>
      <x:c r="E308" s="50" t="str">
        <x:v>Redgate Supply</x:v>
      </x:c>
      <x:c r="F308" s="50" t="str">
        <x:v>Map known supplier abbreviation</x:v>
      </x:c>
      <x:c r="G308" s="50" t="str">
        <x:v>SAFE NORMALIZATION</x:v>
      </x:c>
    </x:row>
    <x:row r="309" ht="22" customHeight="1">
      <x:c r="A309" s="50" t="str">
        <x:v>CH-0304</x:v>
      </x:c>
      <x:c r="B309" s="50" t="str">
        <x:v>IN-0100</x:v>
      </x:c>
      <x:c r="C309" s="50" t="str">
        <x:v>Category</x:v>
      </x:c>
      <x:c r="D309" s="50" t="str">
        <x:v>Maintenance Safety</x:v>
      </x:c>
      <x:c r="E309" s="50" t="str">
        <x:v>Safety &amp; Maintenance</x:v>
      </x:c>
      <x:c r="F309" s="50" t="str">
        <x:v>Map known category synonym</x:v>
      </x:c>
      <x:c r="G309" s="50" t="str">
        <x:v>SAFE NORMALIZATION</x:v>
      </x:c>
    </x:row>
    <x:row r="310" ht="22" customHeight="1">
      <x:c r="A310" s="50" t="str">
        <x:v>CH-0305</x:v>
      </x:c>
      <x:c r="B310" s="50" t="str">
        <x:v>IN-0100</x:v>
      </x:c>
      <x:c r="C310" s="50" t="str">
        <x:v>Storage Bin</x:v>
      </x:c>
      <x:c r="D310" s="50" t="str">
        <x:v>wh-d-02-02</x:v>
      </x:c>
      <x:c r="E310" s="50" t="str">
        <x:v>WH-D-02-02</x:v>
      </x:c>
      <x:c r="F310" s="50" t="str">
        <x:v>Expand recognized warehouse bin code</x:v>
      </x:c>
      <x:c r="G310" s="50" t="str">
        <x:v>SAFE NORMALIZATION</x:v>
      </x:c>
    </x:row>
    <x:row r="311" ht="22" customHeight="1">
      <x:c r="A311" s="50" t="str">
        <x:v>CH-0306</x:v>
      </x:c>
      <x:c r="B311" s="50" t="str">
        <x:v>IN-0100</x:v>
      </x:c>
      <x:c r="C311" s="50" t="str">
        <x:v>Unit</x:v>
      </x:c>
      <x:c r="D311" s="50" t="str">
        <x:v>ea</x:v>
      </x:c>
      <x:c r="E311" s="50" t="str">
        <x:v>EA</x:v>
      </x:c>
      <x:c r="F311" s="50" t="str">
        <x:v>Map known unit synonym (no quantity conversion)</x:v>
      </x:c>
      <x:c r="G311" s="50" t="str">
        <x:v>SAFE NORMALIZATION</x:v>
      </x:c>
    </x:row>
    <x:row r="312" ht="22" customHeight="1">
      <x:c r="A312" s="50" t="str">
        <x:v>CH-0307</x:v>
      </x:c>
      <x:c r="B312" s="50" t="str">
        <x:v>IN-0100</x:v>
      </x:c>
      <x:c r="C312" s="50" t="str">
        <x:v>Supplier</x:v>
      </x:c>
      <x:c r="D312" s="50" t="str">
        <x:v>NORTH FORGE PARTS</x:v>
      </x:c>
      <x:c r="E312" s="50" t="str">
        <x:v>North Forge Parts</x:v>
      </x:c>
      <x:c r="F312" s="50" t="str">
        <x:v>Map known supplier abbreviation</x:v>
      </x:c>
      <x:c r="G312" s="50" t="str">
        <x:v>SAFE NORMALIZATION</x:v>
      </x:c>
    </x:row>
    <x:row r="313" ht="22" customHeight="1">
      <x:c r="A313" s="50" t="str">
        <x:v>CH-0308</x:v>
      </x:c>
      <x:c r="B313" s="50" t="str">
        <x:v>IN-0101</x:v>
      </x:c>
      <x:c r="C313" s="50" t="str">
        <x:v>Part ID</x:v>
      </x:c>
      <x:c r="D313" s="50" t="str">
        <x:v>SP1201</x:v>
      </x:c>
      <x:c r="E313" s="50" t="str">
        <x:v>SP-1201</x:v>
      </x:c>
      <x:c r="F313" s="50" t="str">
        <x:v>Format recognized SP part code</x:v>
      </x:c>
      <x:c r="G313" s="50" t="str">
        <x:v>SAFE NORMALIZATION</x:v>
      </x:c>
    </x:row>
    <x:row r="314" ht="22" customHeight="1">
      <x:c r="A314" s="50" t="str">
        <x:v>CH-0309</x:v>
      </x:c>
      <x:c r="B314" s="50" t="str">
        <x:v>IN-0101</x:v>
      </x:c>
      <x:c r="C314" s="50" t="str">
        <x:v>Category</x:v>
      </x:c>
      <x:c r="D314" s="50" t="str">
        <x:v>Maintenance Safety</x:v>
      </x:c>
      <x:c r="E314" s="50" t="str">
        <x:v>Safety &amp; Maintenance</x:v>
      </x:c>
      <x:c r="F314" s="50" t="str">
        <x:v>Map known category synonym</x:v>
      </x:c>
      <x:c r="G314" s="50" t="str">
        <x:v>SAFE NORMALIZATION</x:v>
      </x:c>
    </x:row>
    <x:row r="315" ht="22" customHeight="1">
      <x:c r="A315" s="50" t="str">
        <x:v>CH-0310</x:v>
      </x:c>
      <x:c r="B315" s="50" t="str">
        <x:v>IN-0101</x:v>
      </x:c>
      <x:c r="C315" s="50" t="str">
        <x:v>Unit</x:v>
      </x:c>
      <x:c r="D315" s="50" t="str">
        <x:v>each</x:v>
      </x:c>
      <x:c r="E315" s="50" t="str">
        <x:v>EA</x:v>
      </x:c>
      <x:c r="F315" s="50" t="str">
        <x:v>Map known unit synonym (no quantity conversion)</x:v>
      </x:c>
      <x:c r="G315" s="50" t="str">
        <x:v>SAFE NORMALIZATION</x:v>
      </x:c>
    </x:row>
    <x:row r="316" ht="22" customHeight="1">
      <x:c r="A316" s="50" t="str">
        <x:v>CH-0311</x:v>
      </x:c>
      <x:c r="B316" s="50" t="str">
        <x:v>IN-0101</x:v>
      </x:c>
      <x:c r="C316" s="50" t="str">
        <x:v>Supplier</x:v>
      </x:c>
      <x:c r="D316" s="50" t="str">
        <x:v>REDGATE SUPPLY</x:v>
      </x:c>
      <x:c r="E316" s="50" t="str">
        <x:v>Redgate Supply</x:v>
      </x:c>
      <x:c r="F316" s="50" t="str">
        <x:v>Map known supplier abbreviation</x:v>
      </x:c>
      <x:c r="G316" s="50" t="str">
        <x:v>SAFE NORMALIZATION</x:v>
      </x:c>
    </x:row>
    <x:row r="317" ht="22" customHeight="1">
      <x:c r="A317" s="50" t="str">
        <x:v>CH-0312</x:v>
      </x:c>
      <x:c r="B317" s="50" t="str">
        <x:v>IN-0102</x:v>
      </x:c>
      <x:c r="C317" s="50" t="str">
        <x:v>Category</x:v>
      </x:c>
      <x:c r="D317" s="50" t="str">
        <x:v>Maintenance Safety</x:v>
      </x:c>
      <x:c r="E317" s="50" t="str">
        <x:v>Safety &amp; Maintenance</x:v>
      </x:c>
      <x:c r="F317" s="50" t="str">
        <x:v>Map known category synonym</x:v>
      </x:c>
      <x:c r="G317" s="50" t="str">
        <x:v>SAFE NORMALIZATION</x:v>
      </x:c>
    </x:row>
    <x:row r="318" ht="22" customHeight="1">
      <x:c r="A318" s="50" t="str">
        <x:v>CH-0313</x:v>
      </x:c>
      <x:c r="B318" s="50" t="str">
        <x:v>IN-0102</x:v>
      </x:c>
      <x:c r="C318" s="50" t="str">
        <x:v>Unit</x:v>
      </x:c>
      <x:c r="D318" s="50" t="str">
        <x:v>ea</x:v>
      </x:c>
      <x:c r="E318" s="50" t="str">
        <x:v>EA</x:v>
      </x:c>
      <x:c r="F318" s="50" t="str">
        <x:v>Map known unit synonym (no quantity conversion)</x:v>
      </x:c>
      <x:c r="G318" s="50" t="str">
        <x:v>SAFE NORMALIZATION</x:v>
      </x:c>
    </x:row>
    <x:row r="319" ht="22" customHeight="1">
      <x:c r="A319" s="50" t="str">
        <x:v>CH-0314</x:v>
      </x:c>
      <x:c r="B319" s="50" t="str">
        <x:v>IN-0102</x:v>
      </x:c>
      <x:c r="C319" s="50" t="str">
        <x:v>Supplier</x:v>
      </x:c>
      <x:c r="D319" s="50" t="str">
        <x:v>Redgate</x:v>
      </x:c>
      <x:c r="E319" s="50" t="str">
        <x:v>Redgate Supply</x:v>
      </x:c>
      <x:c r="F319" s="50" t="str">
        <x:v>Map known supplier abbreviation</x:v>
      </x:c>
      <x:c r="G319" s="50" t="str">
        <x:v>SAFE NORMALIZATION</x:v>
      </x:c>
    </x:row>
    <x:row r="320" ht="22" customHeight="1">
      <x:c r="A320" s="50" t="str">
        <x:v>CH-0315</x:v>
      </x:c>
      <x:c r="B320" s="50" t="str">
        <x:v>IN-0103</x:v>
      </x:c>
      <x:c r="C320" s="50" t="str">
        <x:v>Unit</x:v>
      </x:c>
      <x:c r="D320" s="50" t="str">
        <x:v>box</x:v>
      </x:c>
      <x:c r="E320" s="50" t="str">
        <x:v>BOX</x:v>
      </x:c>
      <x:c r="F320" s="50" t="str">
        <x:v>Map known unit synonym (no quantity conversion)</x:v>
      </x:c>
      <x:c r="G320" s="50" t="str">
        <x:v>SAFE NORMALIZATION</x:v>
      </x:c>
    </x:row>
    <x:row r="321" ht="22" customHeight="1">
      <x:c r="A321" s="50" t="str">
        <x:v>CH-0316</x:v>
      </x:c>
      <x:c r="B321" s="50" t="str">
        <x:v>IN-0104</x:v>
      </x:c>
      <x:c r="C321" s="50" t="str">
        <x:v>Part Description</x:v>
      </x:c>
      <x:c r="D321" s="50" t="str">
        <x:v> machine light  -  standard </x:v>
      </x:c>
      <x:c r="E321" s="50" t="str">
        <x:v>machine light - standard</x:v>
      </x:c>
      <x:c r="F321" s="50" t="str">
        <x:v>Trim and collapse whitespace</x:v>
      </x:c>
      <x:c r="G321" s="50" t="str">
        <x:v>SAFE NORMALIZATION</x:v>
      </x:c>
    </x:row>
    <x:row r="322" ht="22" customHeight="1">
      <x:c r="A322" s="50" t="str">
        <x:v>CH-0317</x:v>
      </x:c>
      <x:c r="B322" s="50" t="str">
        <x:v>IN-0104</x:v>
      </x:c>
      <x:c r="C322" s="50" t="str">
        <x:v>Category</x:v>
      </x:c>
      <x:c r="D322" s="50" t="str">
        <x:v>Safety</x:v>
      </x:c>
      <x:c r="E322" s="50" t="str">
        <x:v>Safety &amp; Maintenance</x:v>
      </x:c>
      <x:c r="F322" s="50" t="str">
        <x:v>Map known category synonym</x:v>
      </x:c>
      <x:c r="G322" s="50" t="str">
        <x:v>SAFE NORMALIZATION</x:v>
      </x:c>
    </x:row>
    <x:row r="323" ht="22" customHeight="1">
      <x:c r="A323" s="50" t="str">
        <x:v>CH-0318</x:v>
      </x:c>
      <x:c r="B323" s="50" t="str">
        <x:v>IN-0104</x:v>
      </x:c>
      <x:c r="C323" s="50" t="str">
        <x:v>Storage Bin</x:v>
      </x:c>
      <x:c r="D323" s="50" t="str">
        <x:v>wh-b-03-01</x:v>
      </x:c>
      <x:c r="E323" s="50" t="str">
        <x:v>WH-B-03-01</x:v>
      </x:c>
      <x:c r="F323" s="50" t="str">
        <x:v>Expand recognized warehouse bin code</x:v>
      </x:c>
      <x:c r="G323" s="50" t="str">
        <x:v>SAFE NORMALIZATION</x:v>
      </x:c>
    </x:row>
    <x:row r="324" ht="22" customHeight="1">
      <x:c r="A324" s="50" t="str">
        <x:v>CH-0319</x:v>
      </x:c>
      <x:c r="B324" s="50" t="str">
        <x:v>IN-0104</x:v>
      </x:c>
      <x:c r="C324" s="50" t="str">
        <x:v>Unit</x:v>
      </x:c>
      <x:c r="D324" s="50" t="str">
        <x:v>ea</x:v>
      </x:c>
      <x:c r="E324" s="50" t="str">
        <x:v>EA</x:v>
      </x:c>
      <x:c r="F324" s="50" t="str">
        <x:v>Map known unit synonym (no quantity conversion)</x:v>
      </x:c>
      <x:c r="G324" s="50" t="str">
        <x:v>SAFE NORMALIZATION</x:v>
      </x:c>
    </x:row>
    <x:row r="325" ht="22" customHeight="1">
      <x:c r="A325" s="50" t="str">
        <x:v>CH-0320</x:v>
      </x:c>
      <x:c r="B325" s="50" t="str">
        <x:v>IN-0104</x:v>
      </x:c>
      <x:c r="C325" s="50" t="str">
        <x:v>Last Counted</x:v>
      </x:c>
      <x:c r="D325" s="50" t="str">
        <x:v>09/30/2026</x:v>
      </x:c>
      <x:c r="E325" s="50" t="str">
        <x:v>2026-09-30</x:v>
      </x:c>
      <x:c r="F325" s="50" t="str">
        <x:v>Normalize valid calendar date</x:v>
      </x:c>
      <x:c r="G325" s="50" t="str">
        <x:v>SAFE NORMALIZATION</x:v>
      </x:c>
    </x:row>
    <x:row r="326" ht="22" customHeight="1">
      <x:c r="A326" s="50" t="str">
        <x:v>CH-0321</x:v>
      </x:c>
      <x:c r="B326" s="50" t="str">
        <x:v>IN-0105</x:v>
      </x:c>
      <x:c r="C326" s="50" t="str">
        <x:v>Storage Bin</x:v>
      </x:c>
      <x:c r="D326" s="50" t="str">
        <x:v>wh-a-03-01</x:v>
      </x:c>
      <x:c r="E326" s="50" t="str">
        <x:v>WH-A-03-01</x:v>
      </x:c>
      <x:c r="F326" s="50" t="str">
        <x:v>Expand recognized warehouse bin code</x:v>
      </x:c>
      <x:c r="G326" s="50" t="str">
        <x:v>SAFE NORMALIZATION</x:v>
      </x:c>
    </x:row>
    <x:row r="327" ht="22" customHeight="1">
      <x:c r="A327" s="50" t="str">
        <x:v>CH-0322</x:v>
      </x:c>
      <x:c r="B327" s="50" t="str">
        <x:v>IN-0106</x:v>
      </x:c>
      <x:c r="C327" s="50" t="str">
        <x:v>Category</x:v>
      </x:c>
      <x:c r="D327" s="50" t="str">
        <x:v>Maintenance Safety</x:v>
      </x:c>
      <x:c r="E327" s="50" t="str">
        <x:v>Safety &amp; Maintenance</x:v>
      </x:c>
      <x:c r="F327" s="50" t="str">
        <x:v>Map known category synonym</x:v>
      </x:c>
      <x:c r="G327" s="50" t="str">
        <x:v>SAFE NORMALIZATION</x:v>
      </x:c>
    </x:row>
    <x:row r="328" ht="22" customHeight="1">
      <x:c r="A328" s="50" t="str">
        <x:v>CH-0323</x:v>
      </x:c>
      <x:c r="B328" s="50" t="str">
        <x:v>IN-0106</x:v>
      </x:c>
      <x:c r="C328" s="50" t="str">
        <x:v>Storage Bin</x:v>
      </x:c>
      <x:c r="D328" s="50" t="str">
        <x:v>C3-04</x:v>
      </x:c>
      <x:c r="E328" s="50" t="str">
        <x:v>WH-C-03-04</x:v>
      </x:c>
      <x:c r="F328" s="50" t="str">
        <x:v>Expand recognized warehouse bin code</x:v>
      </x:c>
      <x:c r="G328" s="50" t="str">
        <x:v>SAFE NORMALIZATION</x:v>
      </x:c>
    </x:row>
    <x:row r="329" ht="22" customHeight="1">
      <x:c r="A329" s="50" t="str">
        <x:v>CH-0324</x:v>
      </x:c>
      <x:c r="B329" s="50" t="str">
        <x:v>IN-0107</x:v>
      </x:c>
      <x:c r="C329" s="50" t="str">
        <x:v>Supplier</x:v>
      </x:c>
      <x:c r="D329" s="50" t="str">
        <x:v>Meridian Ind.</x:v>
      </x:c>
      <x:c r="E329" s="50" t="str">
        <x:v>Meridian Industrial</x:v>
      </x:c>
      <x:c r="F329" s="50" t="str">
        <x:v>Map known supplier abbreviation</x:v>
      </x:c>
      <x:c r="G329" s="50" t="str">
        <x:v>SAFE NORMALIZATION</x:v>
      </x:c>
    </x:row>
    <x:row r="330" ht="22" customHeight="1">
      <x:c r="A330" s="50" t="str">
        <x:v>CH-0325</x:v>
      </x:c>
      <x:c r="B330" s="50" t="str">
        <x:v>IN-0108</x:v>
      </x:c>
      <x:c r="C330" s="50" t="str">
        <x:v>Part ID</x:v>
      </x:c>
      <x:c r="D330" s="50" t="str">
        <x:v>SP 1208</x:v>
      </x:c>
      <x:c r="E330" s="50" t="str">
        <x:v>SP-1208</x:v>
      </x:c>
      <x:c r="F330" s="50" t="str">
        <x:v>Format recognized SP part code</x:v>
      </x:c>
      <x:c r="G330" s="50" t="str">
        <x:v>SAFE NORMALIZATION</x:v>
      </x:c>
    </x:row>
    <x:row r="331" ht="22" customHeight="1">
      <x:c r="A331" s="50" t="str">
        <x:v>CH-0326</x:v>
      </x:c>
      <x:c r="B331" s="50" t="str">
        <x:v>IN-0108</x:v>
      </x:c>
      <x:c r="C331" s="50" t="str">
        <x:v>Storage Bin</x:v>
      </x:c>
      <x:c r="D331" s="50" t="str">
        <x:v>wh-a-01-05</x:v>
      </x:c>
      <x:c r="E331" s="50" t="str">
        <x:v>WH-A-01-05</x:v>
      </x:c>
      <x:c r="F331" s="50" t="str">
        <x:v>Expand recognized warehouse bin code</x:v>
      </x:c>
      <x:c r="G331" s="50" t="str">
        <x:v>SAFE NORMALIZATION</x:v>
      </x:c>
    </x:row>
    <x:row r="332" ht="22" customHeight="1">
      <x:c r="A332" s="50" t="str">
        <x:v>CH-0327</x:v>
      </x:c>
      <x:c r="B332" s="50" t="str">
        <x:v>IN-0108</x:v>
      </x:c>
      <x:c r="C332" s="50" t="str">
        <x:v>Unit</x:v>
      </x:c>
      <x:c r="D332" s="50" t="str">
        <x:v>pair</x:v>
      </x:c>
      <x:c r="E332" s="50" t="str">
        <x:v>PAIR</x:v>
      </x:c>
      <x:c r="F332" s="50" t="str">
        <x:v>Map known unit synonym (no quantity conversion)</x:v>
      </x:c>
      <x:c r="G332" s="50" t="str">
        <x:v>SAFE NORMALIZATION</x:v>
      </x:c>
    </x:row>
    <x:row r="333" ht="22" customHeight="1">
      <x:c r="A333" s="50" t="str">
        <x:v>CH-0328</x:v>
      </x:c>
      <x:c r="B333" s="50" t="str">
        <x:v>IN-0108</x:v>
      </x:c>
      <x:c r="C333" s="50" t="str">
        <x:v>Supplier</x:v>
      </x:c>
      <x:c r="D333" s="50" t="str">
        <x:v>Redgate</x:v>
      </x:c>
      <x:c r="E333" s="50" t="str">
        <x:v>Redgate Supply</x:v>
      </x:c>
      <x:c r="F333" s="50" t="str">
        <x:v>Map known supplier abbreviation</x:v>
      </x:c>
      <x:c r="G333" s="50" t="str">
        <x:v>SAFE NORMALIZATION</x:v>
      </x:c>
    </x:row>
    <x:row r="334" ht="22" customHeight="1">
      <x:c r="A334" s="50" t="str">
        <x:v>CH-0329</x:v>
      </x:c>
      <x:c r="B334" s="50" t="str">
        <x:v>IN-0109</x:v>
      </x:c>
      <x:c r="C334" s="50" t="str">
        <x:v>Part ID</x:v>
      </x:c>
      <x:c r="D334" s="50" t="str">
        <x:v>sp-1209</x:v>
      </x:c>
      <x:c r="E334" s="50" t="str">
        <x:v>SP-1209</x:v>
      </x:c>
      <x:c r="F334" s="50" t="str">
        <x:v>Format recognized SP part code</x:v>
      </x:c>
      <x:c r="G334" s="50" t="str">
        <x:v>SAFE NORMALIZATION</x:v>
      </x:c>
    </x:row>
    <x:row r="335" ht="22" customHeight="1">
      <x:c r="A335" s="50" t="str">
        <x:v>CH-0330</x:v>
      </x:c>
      <x:c r="B335" s="50" t="str">
        <x:v>IN-0109</x:v>
      </x:c>
      <x:c r="C335" s="50" t="str">
        <x:v>Category</x:v>
      </x:c>
      <x:c r="D335" s="50" t="str">
        <x:v>Sensors</x:v>
      </x:c>
      <x:c r="E335" s="50" t="str">
        <x:v>Sensors &amp; Instrumentation</x:v>
      </x:c>
      <x:c r="F335" s="50" t="str">
        <x:v>Map known category synonym</x:v>
      </x:c>
      <x:c r="G335" s="50" t="str">
        <x:v>SAFE NORMALIZATION</x:v>
      </x:c>
    </x:row>
    <x:row r="336" ht="22" customHeight="1">
      <x:c r="A336" s="50" t="str">
        <x:v>CH-0331</x:v>
      </x:c>
      <x:c r="B336" s="50" t="str">
        <x:v>IN-0109</x:v>
      </x:c>
      <x:c r="C336" s="50" t="str">
        <x:v>Storage Bin</x:v>
      </x:c>
      <x:c r="D336" s="50" t="str">
        <x:v>wh-a-01-05</x:v>
      </x:c>
      <x:c r="E336" s="50" t="str">
        <x:v>WH-A-01-05</x:v>
      </x:c>
      <x:c r="F336" s="50" t="str">
        <x:v>Expand recognized warehouse bin code</x:v>
      </x:c>
      <x:c r="G336" s="50" t="str">
        <x:v>SAFE NORMALIZATION</x:v>
      </x:c>
    </x:row>
    <x:row r="337" ht="22" customHeight="1">
      <x:c r="A337" s="50" t="str">
        <x:v>CH-0332</x:v>
      </x:c>
      <x:c r="B337" s="50" t="str">
        <x:v>IN-0109</x:v>
      </x:c>
      <x:c r="C337" s="50" t="str">
        <x:v>Supplier</x:v>
      </x:c>
      <x:c r="D337" s="50" t="str">
        <x:v>REDGATE SUPPLY</x:v>
      </x:c>
      <x:c r="E337" s="50" t="str">
        <x:v>Redgate Supply</x:v>
      </x:c>
      <x:c r="F337" s="50" t="str">
        <x:v>Map known supplier abbreviation</x:v>
      </x:c>
      <x:c r="G337" s="50" t="str">
        <x:v>SAFE NORMALIZATION</x:v>
      </x:c>
    </x:row>
    <x:row r="338" ht="22" customHeight="1">
      <x:c r="A338" s="50" t="str">
        <x:v>CH-0333</x:v>
      </x:c>
      <x:c r="B338" s="50" t="str">
        <x:v>IN-0110</x:v>
      </x:c>
      <x:c r="C338" s="50" t="str">
        <x:v>Category</x:v>
      </x:c>
      <x:c r="D338" s="50" t="str">
        <x:v>Sensors</x:v>
      </x:c>
      <x:c r="E338" s="50" t="str">
        <x:v>Sensors &amp; Instrumentation</x:v>
      </x:c>
      <x:c r="F338" s="50" t="str">
        <x:v>Map known category synonym</x:v>
      </x:c>
      <x:c r="G338" s="50" t="str">
        <x:v>SAFE NORMALIZATION</x:v>
      </x:c>
    </x:row>
    <x:row r="339" ht="22" customHeight="1">
      <x:c r="A339" s="50" t="str">
        <x:v>CH-0334</x:v>
      </x:c>
      <x:c r="B339" s="50" t="str">
        <x:v>IN-0110</x:v>
      </x:c>
      <x:c r="C339" s="50" t="str">
        <x:v>Supplier</x:v>
      </x:c>
      <x:c r="D339" s="50" t="str">
        <x:v>N. Forge Parts</x:v>
      </x:c>
      <x:c r="E339" s="50" t="str">
        <x:v>North Forge Parts</x:v>
      </x:c>
      <x:c r="F339" s="50" t="str">
        <x:v>Map known supplier abbreviation</x:v>
      </x:c>
      <x:c r="G339" s="50" t="str">
        <x:v>SAFE NORMALIZATION</x:v>
      </x:c>
    </x:row>
    <x:row r="340" ht="22" customHeight="1">
      <x:c r="A340" s="50" t="str">
        <x:v>CH-0335</x:v>
      </x:c>
      <x:c r="B340" s="50" t="str">
        <x:v>IN-0111</x:v>
      </x:c>
      <x:c r="C340" s="50" t="str">
        <x:v>Category</x:v>
      </x:c>
      <x:c r="D340" s="50" t="str">
        <x:v>Instrumentation</x:v>
      </x:c>
      <x:c r="E340" s="50" t="str">
        <x:v>Sensors &amp; Instrumentation</x:v>
      </x:c>
      <x:c r="F340" s="50" t="str">
        <x:v>Map known category synonym</x:v>
      </x:c>
      <x:c r="G340" s="50" t="str">
        <x:v>SAFE NORMALIZATION</x:v>
      </x:c>
    </x:row>
    <x:row r="341" ht="22" customHeight="1">
      <x:c r="A341" s="50" t="str">
        <x:v>CH-0336</x:v>
      </x:c>
      <x:c r="B341" s="50" t="str">
        <x:v>IN-0111</x:v>
      </x:c>
      <x:c r="C341" s="50" t="str">
        <x:v>Storage Bin</x:v>
      </x:c>
      <x:c r="D341" s="50" t="str">
        <x:v>wh-a-02-03</x:v>
      </x:c>
      <x:c r="E341" s="50" t="str">
        <x:v>WH-A-02-03</x:v>
      </x:c>
      <x:c r="F341" s="50" t="str">
        <x:v>Expand recognized warehouse bin code</x:v>
      </x:c>
      <x:c r="G341" s="50" t="str">
        <x:v>SAFE NORMALIZATION</x:v>
      </x:c>
    </x:row>
    <x:row r="342" ht="22" customHeight="1">
      <x:c r="A342" s="50" t="str">
        <x:v>CH-0337</x:v>
      </x:c>
      <x:c r="B342" s="50" t="str">
        <x:v>IN-0111</x:v>
      </x:c>
      <x:c r="C342" s="50" t="str">
        <x:v>Unit</x:v>
      </x:c>
      <x:c r="D342" s="50" t="str">
        <x:v>pcs</x:v>
      </x:c>
      <x:c r="E342" s="50" t="str">
        <x:v>EA</x:v>
      </x:c>
      <x:c r="F342" s="50" t="str">
        <x:v>Map known unit synonym (no quantity conversion)</x:v>
      </x:c>
      <x:c r="G342" s="50" t="str">
        <x:v>SAFE NORMALIZATION</x:v>
      </x:c>
    </x:row>
    <x:row r="343" ht="22" customHeight="1">
      <x:c r="A343" s="50" t="str">
        <x:v>CH-0338</x:v>
      </x:c>
      <x:c r="B343" s="50" t="str">
        <x:v>IN-0112</x:v>
      </x:c>
      <x:c r="C343" s="50" t="str">
        <x:v>Part Description</x:v>
      </x:c>
      <x:c r="D343" s="50" t="str">
        <x:v> current transformer  -  type b </x:v>
      </x:c>
      <x:c r="E343" s="50" t="str">
        <x:v>current transformer - type b</x:v>
      </x:c>
      <x:c r="F343" s="50" t="str">
        <x:v>Trim and collapse whitespace</x:v>
      </x:c>
      <x:c r="G343" s="50" t="str">
        <x:v>SAFE NORMALIZATION</x:v>
      </x:c>
    </x:row>
    <x:row r="344" ht="22" customHeight="1">
      <x:c r="A344" s="50" t="str">
        <x:v>CH-0339</x:v>
      </x:c>
      <x:c r="B344" s="50" t="str">
        <x:v>IN-0112</x:v>
      </x:c>
      <x:c r="C344" s="50" t="str">
        <x:v>Category</x:v>
      </x:c>
      <x:c r="D344" s="50" t="str">
        <x:v>Sensors</x:v>
      </x:c>
      <x:c r="E344" s="50" t="str">
        <x:v>Sensors &amp; Instrumentation</x:v>
      </x:c>
      <x:c r="F344" s="50" t="str">
        <x:v>Map known category synonym</x:v>
      </x:c>
      <x:c r="G344" s="50" t="str">
        <x:v>SAFE NORMALIZATION</x:v>
      </x:c>
    </x:row>
    <x:row r="345" ht="22" customHeight="1">
      <x:c r="A345" s="50" t="str">
        <x:v>CH-0340</x:v>
      </x:c>
      <x:c r="B345" s="50" t="str">
        <x:v>IN-0112</x:v>
      </x:c>
      <x:c r="C345" s="50" t="str">
        <x:v>Unit</x:v>
      </x:c>
      <x:c r="D345" s="50" t="str">
        <x:v>pair</x:v>
      </x:c>
      <x:c r="E345" s="50" t="str">
        <x:v>PAIR</x:v>
      </x:c>
      <x:c r="F345" s="50" t="str">
        <x:v>Map known unit synonym (no quantity conversion)</x:v>
      </x:c>
      <x:c r="G345" s="50" t="str">
        <x:v>SAFE NORMALIZATION</x:v>
      </x:c>
    </x:row>
    <x:row r="346" ht="22" customHeight="1">
      <x:c r="A346" s="50" t="str">
        <x:v>CH-0341</x:v>
      </x:c>
      <x:c r="B346" s="50" t="str">
        <x:v>IN-0112</x:v>
      </x:c>
      <x:c r="C346" s="50" t="str">
        <x:v>Supplier</x:v>
      </x:c>
      <x:c r="D346" s="50" t="str">
        <x:v>Redgate</x:v>
      </x:c>
      <x:c r="E346" s="50" t="str">
        <x:v>Redgate Supply</x:v>
      </x:c>
      <x:c r="F346" s="50" t="str">
        <x:v>Map known supplier abbreviation</x:v>
      </x:c>
      <x:c r="G346" s="50" t="str">
        <x:v>SAFE NORMALIZATION</x:v>
      </x:c>
    </x:row>
    <x:row r="347" ht="22" customHeight="1">
      <x:c r="A347" s="50" t="str">
        <x:v>CH-0342</x:v>
      </x:c>
      <x:c r="B347" s="50" t="str">
        <x:v>IN-0113</x:v>
      </x:c>
      <x:c r="C347" s="50" t="str">
        <x:v>Part ID</x:v>
      </x:c>
      <x:c r="D347" s="50" t="str">
        <x:v>SP 1213</x:v>
      </x:c>
      <x:c r="E347" s="50" t="str">
        <x:v>SP-1213</x:v>
      </x:c>
      <x:c r="F347" s="50" t="str">
        <x:v>Format recognized SP part code</x:v>
      </x:c>
      <x:c r="G347" s="50" t="str">
        <x:v>SAFE NORMALIZATION</x:v>
      </x:c>
    </x:row>
    <x:row r="348" ht="22" customHeight="1">
      <x:c r="A348" s="50" t="str">
        <x:v>CH-0343</x:v>
      </x:c>
      <x:c r="B348" s="50" t="str">
        <x:v>IN-0113</x:v>
      </x:c>
      <x:c r="C348" s="50" t="str">
        <x:v>Category</x:v>
      </x:c>
      <x:c r="D348" s="50" t="str">
        <x:v>Instrumentation</x:v>
      </x:c>
      <x:c r="E348" s="50" t="str">
        <x:v>Sensors &amp; Instrumentation</x:v>
      </x:c>
      <x:c r="F348" s="50" t="str">
        <x:v>Map known category synonym</x:v>
      </x:c>
      <x:c r="G348" s="50" t="str">
        <x:v>SAFE NORMALIZATION</x:v>
      </x:c>
    </x:row>
    <x:row r="349" ht="22" customHeight="1">
      <x:c r="A349" s="50" t="str">
        <x:v>CH-0344</x:v>
      </x:c>
      <x:c r="B349" s="50" t="str">
        <x:v>IN-0113</x:v>
      </x:c>
      <x:c r="C349" s="50" t="str">
        <x:v>Storage Bin</x:v>
      </x:c>
      <x:c r="D349" s="50" t="str">
        <x:v>A4-04</x:v>
      </x:c>
      <x:c r="E349" s="50" t="str">
        <x:v>WH-A-04-04</x:v>
      </x:c>
      <x:c r="F349" s="50" t="str">
        <x:v>Expand recognized warehouse bin code</x:v>
      </x:c>
      <x:c r="G349" s="50" t="str">
        <x:v>SAFE NORMALIZATION</x:v>
      </x:c>
    </x:row>
    <x:row r="350" ht="22" customHeight="1">
      <x:c r="A350" s="50" t="str">
        <x:v>CH-0345</x:v>
      </x:c>
      <x:c r="B350" s="50" t="str">
        <x:v>IN-0113</x:v>
      </x:c>
      <x:c r="C350" s="50" t="str">
        <x:v>Unit</x:v>
      </x:c>
      <x:c r="D350" s="50" t="str">
        <x:v>ea</x:v>
      </x:c>
      <x:c r="E350" s="50" t="str">
        <x:v>EA</x:v>
      </x:c>
      <x:c r="F350" s="50" t="str">
        <x:v>Map known unit synonym (no quantity conversion)</x:v>
      </x:c>
      <x:c r="G350" s="50" t="str">
        <x:v>SAFE NORMALIZATION</x:v>
      </x:c>
    </x:row>
    <x:row r="351" ht="22" customHeight="1">
      <x:c r="A351" s="50" t="str">
        <x:v>CH-0346</x:v>
      </x:c>
      <x:c r="B351" s="50" t="str">
        <x:v>IN-0113</x:v>
      </x:c>
      <x:c r="C351" s="50" t="str">
        <x:v>Supplier</x:v>
      </x:c>
      <x:c r="D351" s="50" t="str">
        <x:v>Meridian Ind.</x:v>
      </x:c>
      <x:c r="E351" s="50" t="str">
        <x:v>Meridian Industrial</x:v>
      </x:c>
      <x:c r="F351" s="50" t="str">
        <x:v>Map known supplier abbreviation</x:v>
      </x:c>
      <x:c r="G351" s="50" t="str">
        <x:v>SAFE NORMALIZATION</x:v>
      </x:c>
    </x:row>
    <x:row r="352" ht="22" customHeight="1">
      <x:c r="A352" s="50" t="str">
        <x:v>CH-0347</x:v>
      </x:c>
      <x:c r="B352" s="50" t="str">
        <x:v>IN-0114</x:v>
      </x:c>
      <x:c r="C352" s="50" t="str">
        <x:v>Storage Bin</x:v>
      </x:c>
      <x:c r="D352" s="50" t="str">
        <x:v>D4-04</x:v>
      </x:c>
      <x:c r="E352" s="50" t="str">
        <x:v>WH-D-04-04</x:v>
      </x:c>
      <x:c r="F352" s="50" t="str">
        <x:v>Expand recognized warehouse bin code</x:v>
      </x:c>
      <x:c r="G352" s="50" t="str">
        <x:v>SAFE NORMALIZATION</x:v>
      </x:c>
    </x:row>
    <x:row r="353" ht="22" customHeight="1">
      <x:c r="A353" s="50" t="str">
        <x:v>CH-0348</x:v>
      </x:c>
      <x:c r="B353" s="50" t="str">
        <x:v>IN-0114</x:v>
      </x:c>
      <x:c r="C353" s="50" t="str">
        <x:v>Unit</x:v>
      </x:c>
      <x:c r="D353" s="50" t="str">
        <x:v>each</x:v>
      </x:c>
      <x:c r="E353" s="50" t="str">
        <x:v>EA</x:v>
      </x:c>
      <x:c r="F353" s="50" t="str">
        <x:v>Map known unit synonym (no quantity conversion)</x:v>
      </x:c>
      <x:c r="G353" s="50" t="str">
        <x:v>SAFE NORMALIZATION</x:v>
      </x:c>
    </x:row>
    <x:row r="354" ht="22" customHeight="1">
      <x:c r="A354" s="50" t="str">
        <x:v>CH-0349</x:v>
      </x:c>
      <x:c r="B354" s="50" t="str">
        <x:v>IN-0114</x:v>
      </x:c>
      <x:c r="C354" s="50" t="str">
        <x:v>Supplier</x:v>
      </x:c>
      <x:c r="D354" s="50" t="str">
        <x:v>CANYON EQUIPMENT</x:v>
      </x:c>
      <x:c r="E354" s="50" t="str">
        <x:v>Canyon Equipment</x:v>
      </x:c>
      <x:c r="F354" s="50" t="str">
        <x:v>Map known supplier abbreviation</x:v>
      </x:c>
      <x:c r="G354" s="50" t="str">
        <x:v>SAFE NORMALIZATION</x:v>
      </x:c>
    </x:row>
    <x:row r="355" ht="22" customHeight="1">
      <x:c r="A355" s="50" t="str">
        <x:v>CH-0350</x:v>
      </x:c>
      <x:c r="B355" s="50" t="str">
        <x:v>IN-0115</x:v>
      </x:c>
      <x:c r="C355" s="50" t="str">
        <x:v>Category</x:v>
      </x:c>
      <x:c r="D355" s="50" t="str">
        <x:v>Instrumentation</x:v>
      </x:c>
      <x:c r="E355" s="50" t="str">
        <x:v>Sensors &amp; Instrumentation</x:v>
      </x:c>
      <x:c r="F355" s="50" t="str">
        <x:v>Map known category synonym</x:v>
      </x:c>
      <x:c r="G355" s="50" t="str">
        <x:v>SAFE NORMALIZATION</x:v>
      </x:c>
    </x:row>
    <x:row r="356" ht="22" customHeight="1">
      <x:c r="A356" s="50" t="str">
        <x:v>CH-0351</x:v>
      </x:c>
      <x:c r="B356" s="50" t="str">
        <x:v>IN-0115</x:v>
      </x:c>
      <x:c r="C356" s="50" t="str">
        <x:v>Storage Bin</x:v>
      </x:c>
      <x:c r="D356" s="50" t="str">
        <x:v>wh-d-01-05</x:v>
      </x:c>
      <x:c r="E356" s="50" t="str">
        <x:v>WH-D-01-05</x:v>
      </x:c>
      <x:c r="F356" s="50" t="str">
        <x:v>Expand recognized warehouse bin code</x:v>
      </x:c>
      <x:c r="G356" s="50" t="str">
        <x:v>SAFE NORMALIZATION</x:v>
      </x:c>
    </x:row>
    <x:row r="357" ht="22" customHeight="1">
      <x:c r="A357" s="50" t="str">
        <x:v>CH-0352</x:v>
      </x:c>
      <x:c r="B357" s="50" t="str">
        <x:v>IN-0115</x:v>
      </x:c>
      <x:c r="C357" s="50" t="str">
        <x:v>Supplier</x:v>
      </x:c>
      <x:c r="D357" s="50" t="str">
        <x:v>N. Forge Parts</x:v>
      </x:c>
      <x:c r="E357" s="50" t="str">
        <x:v>North Forge Parts</x:v>
      </x:c>
      <x:c r="F357" s="50" t="str">
        <x:v>Map known supplier abbreviation</x:v>
      </x:c>
      <x:c r="G357" s="50" t="str">
        <x:v>SAFE NORMALIZATION</x:v>
      </x:c>
    </x:row>
    <x:row r="358" ht="22" customHeight="1">
      <x:c r="A358" s="50" t="str">
        <x:v>CH-0353</x:v>
      </x:c>
      <x:c r="B358" s="50" t="str">
        <x:v>IN-0116</x:v>
      </x:c>
      <x:c r="C358" s="50" t="str">
        <x:v>Category</x:v>
      </x:c>
      <x:c r="D358" s="50" t="str">
        <x:v>Sensors</x:v>
      </x:c>
      <x:c r="E358" s="50" t="str">
        <x:v>Sensors &amp; Instrumentation</x:v>
      </x:c>
      <x:c r="F358" s="50" t="str">
        <x:v>Map known category synonym</x:v>
      </x:c>
      <x:c r="G358" s="50" t="str">
        <x:v>SAFE NORMALIZATION</x:v>
      </x:c>
    </x:row>
    <x:row r="359" ht="22" customHeight="1">
      <x:c r="A359" s="50" t="str">
        <x:v>CH-0354</x:v>
      </x:c>
      <x:c r="B359" s="50" t="str">
        <x:v>IN-0116</x:v>
      </x:c>
      <x:c r="C359" s="50" t="str">
        <x:v>Storage Bin</x:v>
      </x:c>
      <x:c r="D359" s="50" t="str">
        <x:v>wh-c-03-01</x:v>
      </x:c>
      <x:c r="E359" s="50" t="str">
        <x:v>WH-C-03-01</x:v>
      </x:c>
      <x:c r="F359" s="50" t="str">
        <x:v>Expand recognized warehouse bin code</x:v>
      </x:c>
      <x:c r="G359" s="50" t="str">
        <x:v>SAFE NORMALIZATION</x:v>
      </x:c>
    </x:row>
    <x:row r="360" ht="22" customHeight="1">
      <x:c r="A360" s="50" t="str">
        <x:v>CH-0355</x:v>
      </x:c>
      <x:c r="B360" s="50" t="str">
        <x:v>IN-0116</x:v>
      </x:c>
      <x:c r="C360" s="50" t="str">
        <x:v>Unit</x:v>
      </x:c>
      <x:c r="D360" s="50" t="str">
        <x:v>pcs</x:v>
      </x:c>
      <x:c r="E360" s="50" t="str">
        <x:v>EA</x:v>
      </x:c>
      <x:c r="F360" s="50" t="str">
        <x:v>Map known unit synonym (no quantity conversion)</x:v>
      </x:c>
      <x:c r="G360" s="50" t="str">
        <x:v>SAFE NORMALIZATION</x:v>
      </x:c>
    </x:row>
    <x:row r="361" ht="22" customHeight="1">
      <x:c r="A361" s="50" t="str">
        <x:v>CH-0356</x:v>
      </x:c>
      <x:c r="B361" s="50" t="str">
        <x:v>IN-0116</x:v>
      </x:c>
      <x:c r="C361" s="50" t="str">
        <x:v>Supplier</x:v>
      </x:c>
      <x:c r="D361" s="50" t="str">
        <x:v>MERIDIAN INDUSTRIAL</x:v>
      </x:c>
      <x:c r="E361" s="50" t="str">
        <x:v>Meridian Industrial</x:v>
      </x:c>
      <x:c r="F361" s="50" t="str">
        <x:v>Map known supplier abbreviation</x:v>
      </x:c>
      <x:c r="G361" s="50" t="str">
        <x:v>SAFE NORMALIZATION</x:v>
      </x:c>
    </x:row>
    <x:row r="362" ht="22" customHeight="1">
      <x:c r="A362" s="50" t="str">
        <x:v>CH-0357</x:v>
      </x:c>
      <x:c r="B362" s="50" t="str">
        <x:v>IN-0117</x:v>
      </x:c>
      <x:c r="C362" s="50" t="str">
        <x:v>Category</x:v>
      </x:c>
      <x:c r="D362" s="50" t="str">
        <x:v>Instrumentation</x:v>
      </x:c>
      <x:c r="E362" s="50" t="str">
        <x:v>Sensors &amp; Instrumentation</x:v>
      </x:c>
      <x:c r="F362" s="50" t="str">
        <x:v>Map known category synonym</x:v>
      </x:c>
      <x:c r="G362" s="50" t="str">
        <x:v>SAFE NORMALIZATION</x:v>
      </x:c>
    </x:row>
    <x:row r="363" ht="22" customHeight="1">
      <x:c r="A363" s="50" t="str">
        <x:v>CH-0358</x:v>
      </x:c>
      <x:c r="B363" s="50" t="str">
        <x:v>IN-0117</x:v>
      </x:c>
      <x:c r="C363" s="50" t="str">
        <x:v>Storage Bin</x:v>
      </x:c>
      <x:c r="D363" s="50" t="str">
        <x:v>C1-03</x:v>
      </x:c>
      <x:c r="E363" s="50" t="str">
        <x:v>WH-C-01-03</x:v>
      </x:c>
      <x:c r="F363" s="50" t="str">
        <x:v>Expand recognized warehouse bin code</x:v>
      </x:c>
      <x:c r="G363" s="50" t="str">
        <x:v>SAFE NORMALIZATION</x:v>
      </x:c>
    </x:row>
    <x:row r="364" ht="22" customHeight="1">
      <x:c r="A364" s="50" t="str">
        <x:v>CH-0359</x:v>
      </x:c>
      <x:c r="B364" s="50" t="str">
        <x:v>IN-0117</x:v>
      </x:c>
      <x:c r="C364" s="50" t="str">
        <x:v>Last Counted</x:v>
      </x:c>
      <x:c r="D364" s="50" t="str">
        <x:v>08/22/2026</x:v>
      </x:c>
      <x:c r="E364" s="50" t="str">
        <x:v>2026-08-22</x:v>
      </x:c>
      <x:c r="F364" s="50" t="str">
        <x:v>Normalize valid calendar date</x:v>
      </x:c>
      <x:c r="G364" s="50" t="str">
        <x:v>SAFE NORMALIZATION</x:v>
      </x:c>
    </x:row>
    <x:row r="365" ht="22" customHeight="1">
      <x:c r="A365" s="50" t="str">
        <x:v>CH-0360</x:v>
      </x:c>
      <x:c r="B365" s="50" t="str">
        <x:v>IN-0118</x:v>
      </x:c>
      <x:c r="C365" s="50" t="str">
        <x:v>Part ID</x:v>
      </x:c>
      <x:c r="D365" s="50" t="str">
        <x:v>sp-1218</x:v>
      </x:c>
      <x:c r="E365" s="50" t="str">
        <x:v>SP-1218</x:v>
      </x:c>
      <x:c r="F365" s="50" t="str">
        <x:v>Format recognized SP part code</x:v>
      </x:c>
      <x:c r="G365" s="50" t="str">
        <x:v>SAFE NORMALIZATION</x:v>
      </x:c>
    </x:row>
    <x:row r="366" ht="22" customHeight="1">
      <x:c r="A366" s="50" t="str">
        <x:v>CH-0361</x:v>
      </x:c>
      <x:c r="B366" s="50" t="str">
        <x:v>IN-0118</x:v>
      </x:c>
      <x:c r="C366" s="50" t="str">
        <x:v>Storage Bin</x:v>
      </x:c>
      <x:c r="D366" s="50" t="str">
        <x:v>D3-01</x:v>
      </x:c>
      <x:c r="E366" s="50" t="str">
        <x:v>WH-D-03-01</x:v>
      </x:c>
      <x:c r="F366" s="50" t="str">
        <x:v>Expand recognized warehouse bin code</x:v>
      </x:c>
      <x:c r="G366" s="50" t="str">
        <x:v>SAFE NORMALIZATION</x:v>
      </x:c>
    </x:row>
    <x:row r="367" ht="22" customHeight="1">
      <x:c r="A367" s="50" t="str">
        <x:v>CH-0362</x:v>
      </x:c>
      <x:c r="B367" s="50" t="str">
        <x:v>IN-0118</x:v>
      </x:c>
      <x:c r="C367" s="50" t="str">
        <x:v>Unit</x:v>
      </x:c>
      <x:c r="D367" s="50" t="str">
        <x:v>pcs</x:v>
      </x:c>
      <x:c r="E367" s="50" t="str">
        <x:v>EA</x:v>
      </x:c>
      <x:c r="F367" s="50" t="str">
        <x:v>Map known unit synonym (no quantity conversion)</x:v>
      </x:c>
      <x:c r="G367" s="50" t="str">
        <x:v>SAFE NORMALIZATION</x:v>
      </x:c>
    </x:row>
    <x:row r="368" ht="22" customHeight="1">
      <x:c r="A368" s="50" t="str">
        <x:v>CH-0363</x:v>
      </x:c>
      <x:c r="B368" s="50" t="str">
        <x:v>IN-0118</x:v>
      </x:c>
      <x:c r="C368" s="50" t="str">
        <x:v>Supplier</x:v>
      </x:c>
      <x:c r="D368" s="50" t="str">
        <x:v>N. Forge Parts</x:v>
      </x:c>
      <x:c r="E368" s="50" t="str">
        <x:v>North Forge Parts</x:v>
      </x:c>
      <x:c r="F368" s="50" t="str">
        <x:v>Map known supplier abbreviation</x:v>
      </x:c>
      <x:c r="G368" s="50" t="str">
        <x:v>SAFE NORMALIZATION</x:v>
      </x:c>
    </x:row>
    <x:row r="369" ht="22" customHeight="1">
      <x:c r="A369" s="50" t="str">
        <x:v>CH-0364</x:v>
      </x:c>
      <x:c r="B369" s="50" t="str">
        <x:v>IN-0119</x:v>
      </x:c>
      <x:c r="C369" s="50" t="str">
        <x:v>Part ID</x:v>
      </x:c>
      <x:c r="D369" s="50" t="str">
        <x:v>sp-1219</x:v>
      </x:c>
      <x:c r="E369" s="50" t="str">
        <x:v>SP-1219</x:v>
      </x:c>
      <x:c r="F369" s="50" t="str">
        <x:v>Format recognized SP part code</x:v>
      </x:c>
      <x:c r="G369" s="50" t="str">
        <x:v>SAFE NORMALIZATION</x:v>
      </x:c>
    </x:row>
    <x:row r="370" ht="22" customHeight="1">
      <x:c r="A370" s="50" t="str">
        <x:v>CH-0365</x:v>
      </x:c>
      <x:c r="B370" s="50" t="str">
        <x:v>IN-0119</x:v>
      </x:c>
      <x:c r="C370" s="50" t="str">
        <x:v>Category</x:v>
      </x:c>
      <x:c r="D370" s="50" t="str">
        <x:v>Sensors</x:v>
      </x:c>
      <x:c r="E370" s="50" t="str">
        <x:v>Sensors &amp; Instrumentation</x:v>
      </x:c>
      <x:c r="F370" s="50" t="str">
        <x:v>Map known category synonym</x:v>
      </x:c>
      <x:c r="G370" s="50" t="str">
        <x:v>SAFE NORMALIZATION</x:v>
      </x:c>
    </x:row>
    <x:row r="371" ht="22" customHeight="1">
      <x:c r="A371" s="50" t="str">
        <x:v>CH-0366</x:v>
      </x:c>
      <x:c r="B371" s="50" t="str">
        <x:v>IN-0119</x:v>
      </x:c>
      <x:c r="C371" s="50" t="str">
        <x:v>Unit</x:v>
      </x:c>
      <x:c r="D371" s="50" t="str">
        <x:v>each</x:v>
      </x:c>
      <x:c r="E371" s="50" t="str">
        <x:v>EA</x:v>
      </x:c>
      <x:c r="F371" s="50" t="str">
        <x:v>Map known unit synonym (no quantity conversion)</x:v>
      </x:c>
      <x:c r="G371" s="50" t="str">
        <x:v>SAFE NORMALIZATION</x:v>
      </x:c>
    </x:row>
    <x:row r="372" ht="22" customHeight="1">
      <x:c r="A372" s="50" t="str">
        <x:v>CH-0367</x:v>
      </x:c>
      <x:c r="B372" s="50" t="str">
        <x:v>IN-0119</x:v>
      </x:c>
      <x:c r="C372" s="50" t="str">
        <x:v>Supplier</x:v>
      </x:c>
      <x:c r="D372" s="50" t="str">
        <x:v>Meridian Ind.</x:v>
      </x:c>
      <x:c r="E372" s="50" t="str">
        <x:v>Meridian Industrial</x:v>
      </x:c>
      <x:c r="F372" s="50" t="str">
        <x:v>Map known supplier abbreviation</x:v>
      </x:c>
      <x:c r="G372" s="50" t="str">
        <x:v>SAFE NORMALIZATION</x:v>
      </x:c>
    </x:row>
    <x:row r="373" ht="22" customHeight="1">
      <x:c r="A373" s="50" t="str">
        <x:v>CH-0368</x:v>
      </x:c>
      <x:c r="B373" s="50" t="str">
        <x:v>IN-0120</x:v>
      </x:c>
      <x:c r="C373" s="50" t="str">
        <x:v>Part ID</x:v>
      </x:c>
      <x:c r="D373" s="50" t="str">
        <x:v>SP 1220</x:v>
      </x:c>
      <x:c r="E373" s="50" t="str">
        <x:v>SP-1220</x:v>
      </x:c>
      <x:c r="F373" s="50" t="str">
        <x:v>Format recognized SP part code</x:v>
      </x:c>
      <x:c r="G373" s="50" t="str">
        <x:v>SAFE NORMALIZATION</x:v>
      </x:c>
    </x:row>
    <x:row r="374" ht="22" customHeight="1">
      <x:c r="A374" s="50" t="str">
        <x:v>CH-0369</x:v>
      </x:c>
      <x:c r="B374" s="50" t="str">
        <x:v>IN-0120</x:v>
      </x:c>
      <x:c r="C374" s="50" t="str">
        <x:v>Part Description</x:v>
      </x:c>
      <x:c r="D374" s="50" t="str">
        <x:v> thermocouple connector  -  standard </x:v>
      </x:c>
      <x:c r="E374" s="50" t="str">
        <x:v>thermocouple connector - standard</x:v>
      </x:c>
      <x:c r="F374" s="50" t="str">
        <x:v>Trim and collapse whitespace</x:v>
      </x:c>
      <x:c r="G374" s="50" t="str">
        <x:v>SAFE NORMALIZATION</x:v>
      </x:c>
    </x:row>
    <x:row r="375" ht="22" customHeight="1">
      <x:c r="A375" s="50" t="str">
        <x:v>CH-0370</x:v>
      </x:c>
      <x:c r="B375" s="50" t="str">
        <x:v>IN-0120</x:v>
      </x:c>
      <x:c r="C375" s="50" t="str">
        <x:v>Category</x:v>
      </x:c>
      <x:c r="D375" s="50" t="str">
        <x:v>Instrumentation</x:v>
      </x:c>
      <x:c r="E375" s="50" t="str">
        <x:v>Sensors &amp; Instrumentation</x:v>
      </x:c>
      <x:c r="F375" s="50" t="str">
        <x:v>Map known category synonym</x:v>
      </x:c>
      <x:c r="G375" s="50" t="str">
        <x:v>SAFE NORMALIZATION</x:v>
      </x:c>
    </x:row>
    <x:row r="376" ht="22" customHeight="1">
      <x:c r="A376" s="50" t="str">
        <x:v>CH-0371</x:v>
      </x:c>
      <x:c r="B376" s="50" t="str">
        <x:v>IN-0120</x:v>
      </x:c>
      <x:c r="C376" s="50" t="str">
        <x:v>Storage Bin</x:v>
      </x:c>
      <x:c r="D376" s="50" t="str">
        <x:v>C3-01</x:v>
      </x:c>
      <x:c r="E376" s="50" t="str">
        <x:v>WH-C-03-01</x:v>
      </x:c>
      <x:c r="F376" s="50" t="str">
        <x:v>Expand recognized warehouse bin code</x:v>
      </x:c>
      <x:c r="G376" s="50" t="str">
        <x:v>SAFE NORMALIZATION</x:v>
      </x:c>
    </x:row>
    <x:row r="377" ht="22" customHeight="1">
      <x:c r="A377" s="50" t="str">
        <x:v>CH-0372</x:v>
      </x:c>
      <x:c r="B377" s="50" t="str">
        <x:v>IN-0120</x:v>
      </x:c>
      <x:c r="C377" s="50" t="str">
        <x:v>Unit</x:v>
      </x:c>
      <x:c r="D377" s="50" t="str">
        <x:v>ft</x:v>
      </x:c>
      <x:c r="E377" s="50" t="str">
        <x:v>FT</x:v>
      </x:c>
      <x:c r="F377" s="50" t="str">
        <x:v>Map known unit synonym (no quantity conversion)</x:v>
      </x:c>
      <x:c r="G377" s="50" t="str">
        <x:v>SAFE NORMALIZATION</x:v>
      </x:c>
    </x:row>
    <x:row r="378" ht="22" customHeight="1">
      <x:c r="A378" s="50" t="str">
        <x:v>CH-0373</x:v>
      </x:c>
      <x:c r="B378" s="50" t="str">
        <x:v>IN-0120</x:v>
      </x:c>
      <x:c r="C378" s="50" t="str">
        <x:v>Supplier</x:v>
      </x:c>
      <x:c r="D378" s="50" t="str">
        <x:v>CANYON EQUIPMENT</x:v>
      </x:c>
      <x:c r="E378" s="50" t="str">
        <x:v>Canyon Equipment</x:v>
      </x:c>
      <x:c r="F378" s="50" t="str">
        <x:v>Map known supplier abbreviation</x:v>
      </x:c>
      <x:c r="G378" s="50" t="str">
        <x:v>SAFE NORMALIZATION</x:v>
      </x:c>
    </x:row>
    <x:row r="379" ht="22" customHeight="1">
      <x:c r="A379" s="50" t="str">
        <x:v>CH-0374</x:v>
      </x:c>
      <x:c r="B379" s="50" t="str">
        <x:v>IN-0121</x:v>
      </x:c>
      <x:c r="C379" s="50" t="str">
        <x:v>Category</x:v>
      </x:c>
      <x:c r="D379" s="50" t="str">
        <x:v>Pwr Trans</x:v>
      </x:c>
      <x:c r="E379" s="50" t="str">
        <x:v>Bearings &amp; Power Transmission</x:v>
      </x:c>
      <x:c r="F379" s="50" t="str">
        <x:v>Map known category synonym</x:v>
      </x:c>
      <x:c r="G379" s="50" t="str">
        <x:v>SAFE NORMALIZATION</x:v>
      </x:c>
    </x:row>
    <x:row r="380" ht="22" customHeight="1">
      <x:c r="A380" s="50" t="str">
        <x:v>CH-0375</x:v>
      </x:c>
      <x:c r="B380" s="50" t="str">
        <x:v>IN-0121</x:v>
      </x:c>
      <x:c r="C380" s="50" t="str">
        <x:v>Supplier</x:v>
      </x:c>
      <x:c r="D380" s="50" t="str">
        <x:v>CANYON EQUIPMENT</x:v>
      </x:c>
      <x:c r="E380" s="50" t="str">
        <x:v>Canyon Equipment</x:v>
      </x:c>
      <x:c r="F380" s="50" t="str">
        <x:v>Map known supplier abbreviation</x:v>
      </x:c>
      <x:c r="G380" s="50" t="str">
        <x:v>SAFE NORMALIZATION</x:v>
      </x:c>
    </x:row>
    <x:row r="381" ht="22" customHeight="1">
      <x:c r="A381" s="50" t="str">
        <x:v>CH-0376</x:v>
      </x:c>
      <x:c r="B381" s="50" t="str">
        <x:v>IN-0122</x:v>
      </x:c>
      <x:c r="C381" s="50" t="str">
        <x:v>Unit</x:v>
      </x:c>
      <x:c r="D381" s="50" t="str">
        <x:v>each</x:v>
      </x:c>
      <x:c r="E381" s="50" t="str">
        <x:v>EA</x:v>
      </x:c>
      <x:c r="F381" s="50" t="str">
        <x:v>Map known unit synonym (no quantity conversion)</x:v>
      </x:c>
      <x:c r="G381" s="50" t="str">
        <x:v>SAFE NORMALIZATION</x:v>
      </x:c>
    </x:row>
    <x:row r="382" ht="22" customHeight="1">
      <x:c r="A382" s="50" t="str">
        <x:v>CH-0377</x:v>
      </x:c>
      <x:c r="B382" s="50" t="str">
        <x:v>IN-0122</x:v>
      </x:c>
      <x:c r="C382" s="50" t="str">
        <x:v>Supplier</x:v>
      </x:c>
      <x:c r="D382" s="50" t="str">
        <x:v>REDGATE SUPPLY</x:v>
      </x:c>
      <x:c r="E382" s="50" t="str">
        <x:v>Redgate Supply</x:v>
      </x:c>
      <x:c r="F382" s="50" t="str">
        <x:v>Map known supplier abbreviation</x:v>
      </x:c>
      <x:c r="G382" s="50" t="str">
        <x:v>SAFE NORMALIZATION</x:v>
      </x:c>
    </x:row>
    <x:row r="383" ht="22" customHeight="1">
      <x:c r="A383" s="50" t="str">
        <x:v>CH-0378</x:v>
      </x:c>
      <x:c r="B383" s="50" t="str">
        <x:v>IN-0123</x:v>
      </x:c>
      <x:c r="C383" s="50" t="str">
        <x:v>Part Description</x:v>
      </x:c>
      <x:c r="D383" s="50" t="str">
        <x:v> limit switch  -  type b </x:v>
      </x:c>
      <x:c r="E383" s="50" t="str">
        <x:v>limit switch - type b</x:v>
      </x:c>
      <x:c r="F383" s="50" t="str">
        <x:v>Trim and collapse whitespace</x:v>
      </x:c>
      <x:c r="G383" s="50" t="str">
        <x:v>SAFE NORMALIZATION</x:v>
      </x:c>
    </x:row>
    <x:row r="384" ht="22" customHeight="1">
      <x:c r="A384" s="50" t="str">
        <x:v>CH-0379</x:v>
      </x:c>
      <x:c r="B384" s="50" t="str">
        <x:v>IN-0123</x:v>
      </x:c>
      <x:c r="C384" s="50" t="str">
        <x:v>Supplier</x:v>
      </x:c>
      <x:c r="D384" s="50" t="str">
        <x:v>NORTH FORGE PARTS</x:v>
      </x:c>
      <x:c r="E384" s="50" t="str">
        <x:v>North Forge Parts</x:v>
      </x:c>
      <x:c r="F384" s="50" t="str">
        <x:v>Map known supplier abbreviation</x:v>
      </x:c>
      <x:c r="G384" s="50" t="str">
        <x:v>SAFE NORMALIZATION</x:v>
      </x:c>
    </x:row>
    <x:row r="385" ht="22" customHeight="1">
      <x:c r="A385" s="50" t="str">
        <x:v>CH-0380</x:v>
      </x:c>
      <x:c r="B385" s="50" t="str">
        <x:v>IN-0124</x:v>
      </x:c>
      <x:c r="C385" s="50" t="str">
        <x:v>Part ID</x:v>
      </x:c>
      <x:c r="D385" s="50" t="str">
        <x:v>sp-1164</x:v>
      </x:c>
      <x:c r="E385" s="50" t="str">
        <x:v>SP-1164</x:v>
      </x:c>
      <x:c r="F385" s="50" t="str">
        <x:v>Format recognized SP part code</x:v>
      </x:c>
      <x:c r="G385" s="50" t="str">
        <x:v>SAFE NORMALIZATION</x:v>
      </x:c>
    </x:row>
    <x:row r="386" ht="22" customHeight="1">
      <x:c r="A386" s="50" t="str">
        <x:v>CH-0381</x:v>
      </x:c>
      <x:c r="B386" s="50" t="str">
        <x:v>IN-0124</x:v>
      </x:c>
      <x:c r="C386" s="50" t="str">
        <x:v>Part Description</x:v>
      </x:c>
      <x:c r="D386" s="50" t="str">
        <x:v> push-to-connect fitting  -  type b </x:v>
      </x:c>
      <x:c r="E386" s="50" t="str">
        <x:v>push-to-connect fitting - type b</x:v>
      </x:c>
      <x:c r="F386" s="50" t="str">
        <x:v>Trim and collapse whitespace</x:v>
      </x:c>
      <x:c r="G386" s="50" t="str">
        <x:v>SAFE NORMALIZATION</x:v>
      </x:c>
    </x:row>
    <x:row r="387" ht="22" customHeight="1">
      <x:c r="A387" s="50" t="str">
        <x:v>CH-0382</x:v>
      </x:c>
      <x:c r="B387" s="50" t="str">
        <x:v>IN-0124</x:v>
      </x:c>
      <x:c r="C387" s="50" t="str">
        <x:v>Category</x:v>
      </x:c>
      <x:c r="D387" s="50" t="str">
        <x:v>Pneumatic</x:v>
      </x:c>
      <x:c r="E387" s="50" t="str">
        <x:v>Pneumatics</x:v>
      </x:c>
      <x:c r="F387" s="50" t="str">
        <x:v>Map known category synonym</x:v>
      </x:c>
      <x:c r="G387" s="50" t="str">
        <x:v>SAFE NORMALIZATION</x:v>
      </x:c>
    </x:row>
    <x:row r="388" ht="22" customHeight="1">
      <x:c r="A388" s="50" t="str">
        <x:v>CH-0383</x:v>
      </x:c>
      <x:c r="B388" s="50" t="str">
        <x:v>IN-0124</x:v>
      </x:c>
      <x:c r="C388" s="50" t="str">
        <x:v>Unit</x:v>
      </x:c>
      <x:c r="D388" s="50" t="str">
        <x:v>box</x:v>
      </x:c>
      <x:c r="E388" s="50" t="str">
        <x:v>BOX</x:v>
      </x:c>
      <x:c r="F388" s="50" t="str">
        <x:v>Map known unit synonym (no quantity conversion)</x:v>
      </x:c>
      <x:c r="G388" s="50" t="str">
        <x:v>SAFE NORMALIZATION</x:v>
      </x:c>
    </x:row>
    <x:row r="389" ht="22" customHeight="1">
      <x:c r="A389" s="50" t="str">
        <x:v>CH-0384</x:v>
      </x:c>
      <x:c r="B389" s="50" t="str">
        <x:v>IN-0124</x:v>
      </x:c>
      <x:c r="C389" s="50" t="str">
        <x:v>Supplier</x:v>
      </x:c>
      <x:c r="D389" s="50" t="str">
        <x:v>NORTH FORGE PARTS</x:v>
      </x:c>
      <x:c r="E389" s="50" t="str">
        <x:v>North Forge Parts</x:v>
      </x:c>
      <x:c r="F389" s="50" t="str">
        <x:v>Map known supplier abbreviation</x:v>
      </x:c>
      <x:c r="G389" s="50" t="str">
        <x:v>SAFE NORMALIZATION</x:v>
      </x:c>
    </x:row>
    <x:row r="390" ht="22" customHeight="1">
      <x:c r="A390" s="50" t="str">
        <x:v>CH-0385</x:v>
      </x:c>
      <x:c r="B390" s="50" t="str">
        <x:v>IN-0125</x:v>
      </x:c>
      <x:c r="C390" s="50" t="str">
        <x:v>Category</x:v>
      </x:c>
      <x:c r="D390" s="50" t="str">
        <x:v>Lube &amp; Filters</x:v>
      </x:c>
      <x:c r="E390" s="50" t="str">
        <x:v>Filters &amp; Fluids</x:v>
      </x:c>
      <x:c r="F390" s="50" t="str">
        <x:v>Map known category synonym</x:v>
      </x:c>
      <x:c r="G390" s="50" t="str">
        <x:v>SAFE NORMALIZATION</x:v>
      </x:c>
    </x:row>
    <x:row r="391" ht="22" customHeight="1">
      <x:c r="A391" s="50" t="str">
        <x:v>CH-0386</x:v>
      </x:c>
      <x:c r="B391" s="50" t="str">
        <x:v>IN-0125</x:v>
      </x:c>
      <x:c r="C391" s="50" t="str">
        <x:v>Storage Bin</x:v>
      </x:c>
      <x:c r="D391" s="50" t="str">
        <x:v>wh-c-01-03</x:v>
      </x:c>
      <x:c r="E391" s="50" t="str">
        <x:v>WH-C-01-03</x:v>
      </x:c>
      <x:c r="F391" s="50" t="str">
        <x:v>Expand recognized warehouse bin code</x:v>
      </x:c>
      <x:c r="G391" s="50" t="str">
        <x:v>SAFE NORMALIZATION</x:v>
      </x:c>
    </x:row>
    <x:row r="392" ht="22" customHeight="1">
      <x:c r="A392" s="50" t="str">
        <x:v>CH-0387</x:v>
      </x:c>
      <x:c r="B392" s="50" t="str">
        <x:v>IN-0125</x:v>
      </x:c>
      <x:c r="C392" s="50" t="str">
        <x:v>Unit</x:v>
      </x:c>
      <x:c r="D392" s="50" t="str">
        <x:v>each</x:v>
      </x:c>
      <x:c r="E392" s="50" t="str">
        <x:v>EA</x:v>
      </x:c>
      <x:c r="F392" s="50" t="str">
        <x:v>Map known unit synonym (no quantity conversion)</x:v>
      </x:c>
      <x:c r="G392" s="50" t="str">
        <x:v>SAFE NORMALIZATION</x:v>
      </x:c>
    </x:row>
    <x:row r="393" ht="22" customHeight="1">
      <x:c r="A393" s="50" t="str">
        <x:v>CH-0388</x:v>
      </x:c>
      <x:c r="B393" s="50" t="str">
        <x:v>IN-0126</x:v>
      </x:c>
      <x:c r="C393" s="50" t="str">
        <x:v>Part Description</x:v>
      </x:c>
      <x:c r="D393" s="50" t="str">
        <x:v> current transformer  -  type b </x:v>
      </x:c>
      <x:c r="E393" s="50" t="str">
        <x:v>current transformer - type b</x:v>
      </x:c>
      <x:c r="F393" s="50" t="str">
        <x:v>Trim and collapse whitespace</x:v>
      </x:c>
      <x:c r="G393" s="50" t="str">
        <x:v>SAFE NORMALIZATION</x:v>
      </x:c>
    </x:row>
    <x:row r="394" ht="22" customHeight="1">
      <x:c r="A394" s="50" t="str">
        <x:v>CH-0389</x:v>
      </x:c>
      <x:c r="B394" s="50" t="str">
        <x:v>IN-0126</x:v>
      </x:c>
      <x:c r="C394" s="50" t="str">
        <x:v>Category</x:v>
      </x:c>
      <x:c r="D394" s="50" t="str">
        <x:v>Sensors</x:v>
      </x:c>
      <x:c r="E394" s="50" t="str">
        <x:v>Sensors &amp; Instrumentation</x:v>
      </x:c>
      <x:c r="F394" s="50" t="str">
        <x:v>Map known category synonym</x:v>
      </x:c>
      <x:c r="G394" s="50" t="str">
        <x:v>SAFE NORMALIZATION</x:v>
      </x:c>
    </x:row>
    <x:row r="395" ht="22" customHeight="1">
      <x:c r="A395" s="50" t="str">
        <x:v>CH-0390</x:v>
      </x:c>
      <x:c r="B395" s="50" t="str">
        <x:v>IN-0126</x:v>
      </x:c>
      <x:c r="C395" s="50" t="str">
        <x:v>Unit</x:v>
      </x:c>
      <x:c r="D395" s="50" t="str">
        <x:v>pair</x:v>
      </x:c>
      <x:c r="E395" s="50" t="str">
        <x:v>PAIR</x:v>
      </x:c>
      <x:c r="F395" s="50" t="str">
        <x:v>Map known unit synonym (no quantity conversion)</x:v>
      </x:c>
      <x:c r="G395" s="50" t="str">
        <x:v>SAFE NORMALIZATION</x:v>
      </x:c>
    </x:row>
    <x:row r="396" ht="22" customHeight="1">
      <x:c r="A396" s="50" t="str">
        <x:v>CH-0391</x:v>
      </x:c>
      <x:c r="B396" s="50" t="str">
        <x:v>IN-0126</x:v>
      </x:c>
      <x:c r="C396" s="50" t="str">
        <x:v>Supplier</x:v>
      </x:c>
      <x:c r="D396" s="50" t="str">
        <x:v>Redgate</x:v>
      </x:c>
      <x:c r="E396" s="50" t="str">
        <x:v>Redgate Supply</x:v>
      </x:c>
      <x:c r="F396" s="50" t="str">
        <x:v>Map known supplier abbreviation</x:v>
      </x:c>
      <x:c r="G396" s="50" t="str">
        <x:v>SAFE NORMALIZATION</x:v>
      </x:c>
    </x:row>
    <x:row r="397" ht="22" customHeight="1">
      <x:c r="A397" s="50" t="str">
        <x:v>CH-0392</x:v>
      </x:c>
      <x:c r="B397" s="50" t="str">
        <x:v>IN-0127</x:v>
      </x:c>
      <x:c r="C397" s="50" t="str">
        <x:v>Category</x:v>
      </x:c>
      <x:c r="D397" s="50" t="str">
        <x:v>ELEC Controls</x:v>
      </x:c>
      <x:c r="E397" s="50" t="str">
        <x:v>Electrical Controls</x:v>
      </x:c>
      <x:c r="F397" s="50" t="str">
        <x:v>Map known category synonym</x:v>
      </x:c>
      <x:c r="G397" s="50" t="str">
        <x:v>SAFE NORMALIZATION</x:v>
      </x:c>
    </x:row>
    <x:row r="398" ht="22" customHeight="1">
      <x:c r="A398" s="50" t="str">
        <x:v>CH-0393</x:v>
      </x:c>
      <x:c r="B398" s="50" t="str">
        <x:v>IN-0127</x:v>
      </x:c>
      <x:c r="C398" s="50" t="str">
        <x:v>Unit</x:v>
      </x:c>
      <x:c r="D398" s="50" t="str">
        <x:v>each</x:v>
      </x:c>
      <x:c r="E398" s="50" t="str">
        <x:v>EA</x:v>
      </x:c>
      <x:c r="F398" s="50" t="str">
        <x:v>Map known unit synonym (no quantity conversion)</x:v>
      </x:c>
      <x:c r="G398" s="50" t="str">
        <x:v>SAFE NORMALIZATION</x:v>
      </x:c>
    </x:row>
    <x:row r="399" ht="22" customHeight="1">
      <x:c r="A399" s="50" t="str">
        <x:v>CH-0394</x:v>
      </x:c>
      <x:c r="B399" s="50" t="str">
        <x:v>IN-0127</x:v>
      </x:c>
      <x:c r="C399" s="50" t="str">
        <x:v>Supplier</x:v>
      </x:c>
      <x:c r="D399" s="50" t="str">
        <x:v>Meridian Ind.</x:v>
      </x:c>
      <x:c r="E399" s="50" t="str">
        <x:v>Meridian Industrial</x:v>
      </x:c>
      <x:c r="F399" s="50" t="str">
        <x:v>Map known supplier abbreviation</x:v>
      </x:c>
      <x:c r="G399" s="50" t="str">
        <x:v>SAFE NORMALIZATION</x:v>
      </x:c>
    </x:row>
    <x:row r="400" ht="22" customHeight="1">
      <x:c r="A400" s="50" t="str">
        <x:v>CH-0395</x:v>
      </x:c>
      <x:c r="B400" s="50" t="str">
        <x:v>IN-0128</x:v>
      </x:c>
      <x:c r="C400" s="50" t="str">
        <x:v>Part ID</x:v>
      </x:c>
      <x:c r="D400" s="50" t="str">
        <x:v>SP1201</x:v>
      </x:c>
      <x:c r="E400" s="50" t="str">
        <x:v>SP-1201</x:v>
      </x:c>
      <x:c r="F400" s="50" t="str">
        <x:v>Format recognized SP part code</x:v>
      </x:c>
      <x:c r="G400" s="50" t="str">
        <x:v>SAFE NORMALIZATION</x:v>
      </x:c>
    </x:row>
    <x:row r="401" ht="22" customHeight="1">
      <x:c r="A401" s="50" t="str">
        <x:v>CH-0396</x:v>
      </x:c>
      <x:c r="B401" s="50" t="str">
        <x:v>IN-0128</x:v>
      </x:c>
      <x:c r="C401" s="50" t="str">
        <x:v>Category</x:v>
      </x:c>
      <x:c r="D401" s="50" t="str">
        <x:v>Maintenance Safety</x:v>
      </x:c>
      <x:c r="E401" s="50" t="str">
        <x:v>Safety &amp; Maintenance</x:v>
      </x:c>
      <x:c r="F401" s="50" t="str">
        <x:v>Map known category synonym</x:v>
      </x:c>
      <x:c r="G401" s="50" t="str">
        <x:v>SAFE NORMALIZATION</x:v>
      </x:c>
    </x:row>
    <x:row r="402" ht="22" customHeight="1">
      <x:c r="A402" s="50" t="str">
        <x:v>CH-0397</x:v>
      </x:c>
      <x:c r="B402" s="50" t="str">
        <x:v>IN-0128</x:v>
      </x:c>
      <x:c r="C402" s="50" t="str">
        <x:v>Unit</x:v>
      </x:c>
      <x:c r="D402" s="50" t="str">
        <x:v>each</x:v>
      </x:c>
      <x:c r="E402" s="50" t="str">
        <x:v>EA</x:v>
      </x:c>
      <x:c r="F402" s="50" t="str">
        <x:v>Map known unit synonym (no quantity conversion)</x:v>
      </x:c>
      <x:c r="G402" s="50" t="str">
        <x:v>SAFE NORMALIZATION</x:v>
      </x:c>
    </x:row>
    <x:row r="403" ht="22" customHeight="1">
      <x:c r="A403" s="50" t="str">
        <x:v>CH-0398</x:v>
      </x:c>
      <x:c r="B403" s="50" t="str">
        <x:v>IN-0128</x:v>
      </x:c>
      <x:c r="C403" s="50" t="str">
        <x:v>Supplier</x:v>
      </x:c>
      <x:c r="D403" s="50" t="str">
        <x:v>REDGATE SUPPLY</x:v>
      </x:c>
      <x:c r="E403" s="50" t="str">
        <x:v>Redgate Supply</x:v>
      </x:c>
      <x:c r="F403" s="50" t="str">
        <x:v>Map known supplier abbreviation</x:v>
      </x:c>
      <x:c r="G403" s="50" t="str">
        <x:v>SAFE NORMALIZATION</x:v>
      </x:c>
    </x:row>
    <x:row r="404" ht="22" customHeight="1">
      <x:c r="A404" s="50" t="str">
        <x:v>CH-0399</x:v>
      </x:c>
      <x:c r="B404" s="50" t="str">
        <x:v>IN-0129</x:v>
      </x:c>
      <x:c r="C404" s="50" t="str">
        <x:v>Part Description</x:v>
      </x:c>
      <x:c r="D404" s="50" t="str">
        <x:v> conveyor belt clip  -  standard </x:v>
      </x:c>
      <x:c r="E404" s="50" t="str">
        <x:v>conveyor belt clip - standard</x:v>
      </x:c>
      <x:c r="F404" s="50" t="str">
        <x:v>Trim and collapse whitespace</x:v>
      </x:c>
      <x:c r="G404" s="50" t="str">
        <x:v>SAFE NORMALIZATION</x:v>
      </x:c>
    </x:row>
    <x:row r="405" ht="22" customHeight="1">
      <x:c r="A405" s="50" t="str">
        <x:v>CH-0400</x:v>
      </x:c>
      <x:c r="B405" s="50" t="str">
        <x:v>IN-0129</x:v>
      </x:c>
      <x:c r="C405" s="50" t="str">
        <x:v>Category</x:v>
      </x:c>
      <x:c r="D405" s="50" t="str">
        <x:v>Conveyors</x:v>
      </x:c>
      <x:c r="E405" s="50" t="str">
        <x:v>Conveyor Systems</x:v>
      </x:c>
      <x:c r="F405" s="50" t="str">
        <x:v>Map known category synonym</x:v>
      </x:c>
      <x:c r="G405" s="50" t="str">
        <x:v>SAFE NORMALIZATION</x:v>
      </x:c>
    </x:row>
    <x:row r="406" ht="22" customHeight="1">
      <x:c r="A406" s="50" t="str">
        <x:v>CH-0401</x:v>
      </x:c>
      <x:c r="B406" s="50" t="str">
        <x:v>IN-0129</x:v>
      </x:c>
      <x:c r="C406" s="50" t="str">
        <x:v>Unit</x:v>
      </x:c>
      <x:c r="D406" s="50" t="str">
        <x:v>ea</x:v>
      </x:c>
      <x:c r="E406" s="50" t="str">
        <x:v>EA</x:v>
      </x:c>
      <x:c r="F406" s="50" t="str">
        <x:v>Map known unit synonym (no quantity conversion)</x:v>
      </x:c>
      <x:c r="G406" s="50" t="str">
        <x:v>SAFE NORMALIZATION</x:v>
      </x:c>
    </x:row>
    <x:row r="407" ht="22" customHeight="1">
      <x:c r="A407" s="50" t="str">
        <x:v>CH-0402</x:v>
      </x:c>
      <x:c r="B407" s="50" t="str">
        <x:v>IN-0130</x:v>
      </x:c>
      <x:c r="C407" s="50" t="str">
        <x:v>Part ID</x:v>
      </x:c>
      <x:c r="D407" s="50" t="str">
        <x:v>SP 1152</x:v>
      </x:c>
      <x:c r="E407" s="50" t="str">
        <x:v>SP-1152</x:v>
      </x:c>
      <x:c r="F407" s="50" t="str">
        <x:v>Format recognized SP part code</x:v>
      </x:c>
      <x:c r="G407" s="50" t="str">
        <x:v>SAFE NORMALIZATION</x:v>
      </x:c>
    </x:row>
    <x:row r="408" ht="22" customHeight="1">
      <x:c r="A408" s="50" t="str">
        <x:v>CH-0403</x:v>
      </x:c>
      <x:c r="B408" s="50" t="str">
        <x:v>IN-0130</x:v>
      </x:c>
      <x:c r="C408" s="50" t="str">
        <x:v>Unit</x:v>
      </x:c>
      <x:c r="D408" s="50" t="str">
        <x:v>pcs</x:v>
      </x:c>
      <x:c r="E408" s="50" t="str">
        <x:v>EA</x:v>
      </x:c>
      <x:c r="F408" s="50" t="str">
        <x:v>Map known unit synonym (no quantity conversion)</x:v>
      </x:c>
      <x:c r="G408" s="50" t="str">
        <x:v>SAFE NORMALIZATION</x:v>
      </x:c>
    </x:row>
    <x:row r="409" ht="22" customHeight="1">
      <x:c r="A409" s="50" t="str">
        <x:v>CH-0404</x:v>
      </x:c>
      <x:c r="B409" s="50" t="str">
        <x:v>IN-0130</x:v>
      </x:c>
      <x:c r="C409" s="50" t="str">
        <x:v>Supplier</x:v>
      </x:c>
      <x:c r="D409" s="50" t="str">
        <x:v>CANYON EQUIPMENT</x:v>
      </x:c>
      <x:c r="E409" s="50" t="str">
        <x:v>Canyon Equipment</x:v>
      </x:c>
      <x:c r="F409" s="50" t="str">
        <x:v>Map known supplier abbreviation</x:v>
      </x:c>
      <x:c r="G409" s="50" t="str">
        <x:v>SAFE NORMALIZATION</x:v>
      </x:c>
    </x:row>
    <x:row r="410" ht="22" customHeight="1">
      <x:c r="A410" s="50" t="str">
        <x:v>CH-0405</x:v>
      </x:c>
      <x:c r="B410" s="50" t="str">
        <x:v>IN-0130</x:v>
      </x:c>
      <x:c r="C410" s="50" t="str">
        <x:v>Last Counted</x:v>
      </x:c>
      <x:c r="D410" s="50" t="str">
        <x:v>07/15/2026</x:v>
      </x:c>
      <x:c r="E410" s="50" t="str">
        <x:v>2026-07-15</x:v>
      </x:c>
      <x:c r="F410" s="50" t="str">
        <x:v>Normalize valid calendar date</x:v>
      </x:c>
      <x:c r="G410" s="50" t="str">
        <x:v>SAFE NORMALIZATION</x:v>
      </x:c>
    </x:row>
    <x:row r="411" ht="22" customHeight="1">
      <x:c r="A411" s="50" t="str">
        <x:v>CH-0406</x:v>
      </x:c>
      <x:c r="B411" s="50" t="str">
        <x:v>IN-0132</x:v>
      </x:c>
      <x:c r="C411" s="50" t="str">
        <x:v>Part ID</x:v>
      </x:c>
      <x:c r="D411" s="50" t="str">
        <x:v>sp-1175</x:v>
      </x:c>
      <x:c r="E411" s="50" t="str">
        <x:v>SP-1175</x:v>
      </x:c>
      <x:c r="F411" s="50" t="str">
        <x:v>Format recognized SP part code</x:v>
      </x:c>
      <x:c r="G411" s="50" t="str">
        <x:v>SAFE NORMALIZATION</x:v>
      </x:c>
    </x:row>
    <x:row r="412" ht="22" customHeight="1">
      <x:c r="A412" s="50" t="str">
        <x:v>CH-0407</x:v>
      </x:c>
      <x:c r="B412" s="50" t="str">
        <x:v>IN-0132</x:v>
      </x:c>
      <x:c r="C412" s="50" t="str">
        <x:v>Category</x:v>
      </x:c>
      <x:c r="D412" s="50" t="str">
        <x:v>Hardware</x:v>
      </x:c>
      <x:c r="E412" s="50" t="str">
        <x:v>Fasteners &amp; Hardware</x:v>
      </x:c>
      <x:c r="F412" s="50" t="str">
        <x:v>Map known category synonym</x:v>
      </x:c>
      <x:c r="G412" s="50" t="str">
        <x:v>SAFE NORMALIZATION</x:v>
      </x:c>
    </x:row>
    <x:row r="413" ht="22" customHeight="1">
      <x:c r="A413" s="50" t="str">
        <x:v>CH-0408</x:v>
      </x:c>
      <x:c r="B413" s="50" t="str">
        <x:v>IN-0132</x:v>
      </x:c>
      <x:c r="C413" s="50" t="str">
        <x:v>Supplier</x:v>
      </x:c>
      <x:c r="D413" s="50" t="str">
        <x:v>MERIDIAN INDUSTRIAL</x:v>
      </x:c>
      <x:c r="E413" s="50" t="str">
        <x:v>Meridian Industrial</x:v>
      </x:c>
      <x:c r="F413" s="50" t="str">
        <x:v>Map known supplier abbreviation</x:v>
      </x:c>
      <x:c r="G413" s="50" t="str">
        <x:v>SAFE NORMALIZATION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35c9424e4eb2413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1" hidden="0" customWidth="1"/>
    <x:col min="3" max="3" width="35" hidden="0" customWidth="1"/>
    <x:col min="4" max="4" width="35" hidden="0" customWidth="1"/>
    <x:col min="5" max="5" width="17" hidden="0" customWidth="1"/>
    <x:col min="6" max="6" width="75" hidden="0" customWidth="1"/>
  </x:cols>
  <x:sheetData>
    <x:row r="1" ht="25" customHeight="1">
      <x:c r="A1" s="4" t="str">
        <x:v>RULES &amp; NOTES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3" customHeight="1">
      <x:c r="A3" s="10" t="str">
        <x:v>Approved cleaning rules versus decisions that require a human owner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5" customHeight="1">
      <x:c r="A5" s="44" t="str">
        <x:v>ID</x:v>
      </x:c>
      <x:c r="B5" s="44" t="str">
        <x:v>Field</x:v>
      </x:c>
      <x:c r="C5" s="44" t="str">
        <x:v>Raw Example</x:v>
      </x:c>
      <x:c r="D5" s="44" t="str">
        <x:v>Target Example</x:v>
      </x:c>
      <x:c r="E5" s="44" t="str">
        <x:v>Decision</x:v>
      </x:c>
      <x:c r="F5" s="44" t="str">
        <x:v>Policy</x:v>
      </x:c>
    </x:row>
    <x:row r="6" ht="37" customHeight="1">
      <x:c r="A6" t="str">
        <x:v>R01</x:v>
      </x:c>
      <x:c r="B6" t="str">
        <x:v>Part code</x:v>
      </x:c>
      <x:c r="C6" s="56" t="str">
        <x:v>SP1101 / sp-1101 / sp 1101</x:v>
      </x:c>
      <x:c r="D6" s="56" t="str">
        <x:v>SP-1101</x:v>
      </x:c>
      <x:c r="E6" t="str">
        <x:v>SAFE</x:v>
      </x:c>
      <x:c r="F6" s="56" t="str">
        <x:v>Format recognized 4-digit SP identifiers only.</x:v>
      </x:c>
    </x:row>
    <x:row r="7" ht="37" customHeight="1">
      <x:c r="A7" t="str">
        <x:v>R02</x:v>
      </x:c>
      <x:c r="B7" t="str">
        <x:v>Description</x:v>
      </x:c>
      <x:c r="C7" s="56" t="str">
        <x:v>Extra spaces; leading/trailing whitespace</x:v>
      </x:c>
      <x:c r="D7" s="56" t="str">
        <x:v>Trimmed, normalized whitespace</x:v>
      </x:c>
      <x:c r="E7" t="str">
        <x:v>SAFE</x:v>
      </x:c>
      <x:c r="F7" s="56" t="str">
        <x:v>Never replace model or size text based on guesses.</x:v>
      </x:c>
    </x:row>
    <x:row r="8" ht="37" customHeight="1">
      <x:c r="A8" t="str">
        <x:v>R03</x:v>
      </x:c>
      <x:c r="B8" t="str">
        <x:v>Category</x:v>
      </x:c>
      <x:c r="C8" s="56" t="str">
        <x:v>Known shorthand from approved mapping</x:v>
      </x:c>
      <x:c r="D8" s="56" t="str">
        <x:v>Controlled category</x:v>
      </x:c>
      <x:c r="E8" t="str">
        <x:v>SAFE</x:v>
      </x:c>
      <x:c r="F8" s="56" t="str">
        <x:v>Unrecognized category remains a review exception.</x:v>
      </x:c>
    </x:row>
    <x:row r="9" ht="37" customHeight="1">
      <x:c r="A9" t="str">
        <x:v>R04</x:v>
      </x:c>
      <x:c r="B9" t="str">
        <x:v>Location</x:v>
      </x:c>
      <x:c r="C9" s="56" t="str">
        <x:v>A1-03 / wh-a-01-03</x:v>
      </x:c>
      <x:c r="D9" s="56" t="str">
        <x:v>WH-A-01-03</x:v>
      </x:c>
      <x:c r="E9" t="str">
        <x:v>SAFE</x:v>
      </x:c>
      <x:c r="F9" s="56" t="str">
        <x:v>Only known warehouse code patterns; no guessed bins.</x:v>
      </x:c>
    </x:row>
    <x:row r="10" ht="37" customHeight="1">
      <x:c r="A10" t="str">
        <x:v>R05</x:v>
      </x:c>
      <x:c r="B10" t="str">
        <x:v>Unit</x:v>
      </x:c>
      <x:c r="C10" s="56" t="str">
        <x:v>pcs / each / ea</x:v>
      </x:c>
      <x:c r="D10" s="56" t="str">
        <x:v>EA</x:v>
      </x:c>
      <x:c r="E10" t="str">
        <x:v>SAFE</x:v>
      </x:c>
      <x:c r="F10" s="56" t="str">
        <x:v>No quantity conversion; BOX and PAIR remain distinct.</x:v>
      </x:c>
    </x:row>
    <x:row r="11" ht="37" customHeight="1">
      <x:c r="A11" t="str">
        <x:v>R06</x:v>
      </x:c>
      <x:c r="B11" t="str">
        <x:v>Supplier</x:v>
      </x:c>
      <x:c r="C11" s="56" t="str">
        <x:v>Meridian Ind. / MERIDIAN INDUSTRIAL</x:v>
      </x:c>
      <x:c r="D11" s="56" t="str">
        <x:v>Meridian Industrial</x:v>
      </x:c>
      <x:c r="E11" t="str">
        <x:v>SAFE</x:v>
      </x:c>
      <x:c r="F11" s="56" t="str">
        <x:v>Only known synthetic supplier aliases.</x:v>
      </x:c>
    </x:row>
    <x:row r="12" ht="37" customHeight="1">
      <x:c r="A12" t="str">
        <x:v>R07</x:v>
      </x:c>
      <x:c r="B12" t="str">
        <x:v>Count date</x:v>
      </x:c>
      <x:c r="C12" s="56" t="str">
        <x:v>09/15/2026</x:v>
      </x:c>
      <x:c r="D12" s="56" t="str">
        <x:v>2026-09-15</x:v>
      </x:c>
      <x:c r="E12" t="str">
        <x:v>SAFE</x:v>
      </x:c>
      <x:c r="F12" s="56" t="str">
        <x:v>Valid date format conversion only; invalid dates held.</x:v>
      </x:c>
    </x:row>
    <x:row r="13" ht="37" customHeight="1">
      <x:c r="A13" t="str">
        <x:v>R08</x:v>
      </x:c>
      <x:c r="B13" t="str">
        <x:v>Quantities</x:v>
      </x:c>
      <x:c r="C13" s="56" t="str">
        <x:v>Missing / TBD / -3</x:v>
      </x:c>
      <x:c r="D13" s="56" t="str">
        <x:v>Blank or preserved negative</x:v>
      </x:c>
      <x:c r="E13" t="str">
        <x:v>REVIEW</x:v>
      </x:c>
      <x:c r="F13" s="56" t="str">
        <x:v>Never invent stock levels or convert negative stock to zero.</x:v>
      </x:c>
    </x:row>
    <x:row r="14" ht="37" customHeight="1">
      <x:c r="A14" t="str">
        <x:v>R09</x:v>
      </x:c>
      <x:c r="B14" t="str">
        <x:v>Part duplicates</x:v>
      </x:c>
      <x:c r="C14" s="56" t="str">
        <x:v>One SKU in multiple exports</x:v>
      </x:c>
      <x:c r="D14" s="56" t="str">
        <x:v>All occurrences flagged</x:v>
      </x:c>
      <x:c r="E14" t="str">
        <x:v>REVIEW</x:v>
      </x:c>
      <x:c r="F14" s="56" t="str">
        <x:v>No record deletion; decide merges by physical-bin/business rules.</x:v>
      </x:c>
    </x:row>
    <x:row r="15" ht="37" customHeight="1">
      <x:c r="A15" t="str">
        <x:v>R10</x:v>
      </x:c>
      <x:c r="B15" t="str">
        <x:v>Costs</x:v>
      </x:c>
      <x:c r="C15" s="56" t="str">
        <x:v>Missing / textual unit price</x:v>
      </x:c>
      <x:c r="D15" s="56" t="str">
        <x:v>Blank</x:v>
      </x:c>
      <x:c r="E15" t="str">
        <x:v>REVIEW</x:v>
      </x:c>
      <x:c r="F15" s="56" t="str">
        <x:v>Do not infer costs; synthetic inventory value excludes held records.</x:v>
      </x:c>
    </x:row>
    <x:row r="16" ht="37" customHeight="1">
      <x:c r="A16" t="str">
        <x:v>R11</x:v>
      </x:c>
      <x:c r="B16" t="str">
        <x:v>Reorder thresholds</x:v>
      </x:c>
      <x:c r="C16" s="56" t="str">
        <x:v>-1 / N/A</x:v>
      </x:c>
      <x:c r="D16" s="56" t="str">
        <x:v>Kept as invalid or blank</x:v>
      </x:c>
      <x:c r="E16" t="str">
        <x:v>REVIEW</x:v>
      </x:c>
      <x:c r="F16" s="56" t="str">
        <x:v>Only nonnegative integer thresholds can be approved.</x:v>
      </x:c>
    </x:row>
    <x:row r="17" ht="37" customHeight="1">
      <x:c r="A17" t="str">
        <x:v>R12</x:v>
      </x:c>
      <x:c r="B17" t="str">
        <x:v>Data retention</x:v>
      </x:c>
      <x:c r="C17" s="56" t="str">
        <x:v>133 source records</x:v>
      </x:c>
      <x:c r="D17" s="56" t="str">
        <x:v>133 normalized records</x:v>
      </x:c>
      <x:c r="E17" t="str">
        <x:v>CONTROL</x:v>
      </x:c>
      <x:c r="F17" s="56" t="str">
        <x:v>Every row is retained by immutable Source ID.</x:v>
      </x:c>
    </x:row>
    <x:row r="19" ht="27" customHeight="1">
      <x:c r="A19" s="32" t="str">
        <x:v>IMPORTANT LIMITATION</x:v>
      </x:c>
      <x:c r="B19" s="32"/>
      <x:c r="C19" s="32"/>
      <x:c r="D19" s="32"/>
      <x:c r="E19" s="32"/>
      <x:c r="F19" s="32"/>
    </x:row>
    <x:row r="20">
      <x:c r="A20" s="61" t="str">
        <x:v>This is a fully synthetic portfolio demonstration—not a completed client contract, not an operational system of record, and not an automated guarantee of correctness. Manual review is required before a real business adopts cleaned data.</x:v>
      </x:c>
      <x:c r="B20" s="61"/>
      <x:c r="C20" s="61"/>
      <x:c r="D20" s="61"/>
      <x:c r="E20" s="61"/>
      <x:c r="F20" s="61"/>
    </x:row>
    <x:row r="21">
      <x:c r="A21" s="61"/>
      <x:c r="B21" s="61"/>
      <x:c r="C21" s="61"/>
      <x:c r="D21" s="61"/>
      <x:c r="E21" s="61"/>
      <x:c r="F21" s="61"/>
    </x:row>
  </x:sheetData>
  <x:mergeCells>
    <x:mergeCell ref="A1:J2"/>
    <x:mergeCell ref="A3:J3"/>
    <x:mergeCell ref="A19:F19"/>
    <x:mergeCell ref="A20:F21"/>
  </x:mergeCells>
  <x:conditionalFormatting sqref="E6:E17">
    <x:cfRule type="expression" dxfId="6" priority="1">
      <x:formula>E6="REVIEW"</x:formula>
    </x:cfRule>
  </x:conditionalFormatting>
  <x:pageMargins left="0.7" right="0.7" top="0.75" bottom="0.75" header="0.3" footer="0.3"/>
</x:worksheet>
</file>