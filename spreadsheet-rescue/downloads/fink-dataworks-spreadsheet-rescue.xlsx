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e58600c2584c2a" /></Relationships>
</file>

<file path=xl/workbook.xml><?xml version="1.0" encoding="utf-8"?>
<x:workbook xmlns:x="http://schemas.openxmlformats.org/spreadsheetml/2006/main">
  <x:sheets>
    <x:sheet xmlns:r="http://schemas.openxmlformats.org/officeDocument/2006/relationships" name="Dashboard" sheetId="1" r:id="Re915c147133849b7"/>
    <x:sheet xmlns:r="http://schemas.openxmlformats.org/officeDocument/2006/relationships" name="Cleaned" sheetId="2" r:id="Re04204cd915d49db"/>
    <x:sheet xmlns:r="http://schemas.openxmlformats.org/officeDocument/2006/relationships" name="Review queue" sheetId="3" r:id="R65e258be404c4dc8"/>
    <x:sheet xmlns:r="http://schemas.openxmlformats.org/officeDocument/2006/relationships" name="Raw data" sheetId="4" r:id="R5957805bdd0a4c76"/>
    <x:sheet xmlns:r="http://schemas.openxmlformats.org/officeDocument/2006/relationships" name="Reference" sheetId="5" r:id="Rdf4a7fb3aea14f8d"/>
    <x:sheet xmlns:r="http://schemas.openxmlformats.org/officeDocument/2006/relationships" name="Audit log" sheetId="6" r:id="Re56cdf56dfab45cd"/>
    <x:sheet xmlns:r="http://schemas.openxmlformats.org/officeDocument/2006/relationships" name="Read me" sheetId="7" r:id="R49032e736d8b400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
    <x:numFmt numFmtId="202" formatCode="yyyy-mm-dd"/>
    <x:numFmt numFmtId="203" formatCode="@"/>
    <x:numFmt numFmtId="204" formatCode="0%"/>
  </x:numFmts>
  <x:fonts count="6">
    <x:font>
      <x:sz val="11"/>
      <x:name val="Carlito"/>
    </x:font>
    <x:font>
      <x:sz val="11"/>
      <x:color rgb="FF24364A"/>
      <x:name val="Arial"/>
    </x:font>
    <x:font>
      <x:b/>
      <x:sz val="11"/>
      <x:color rgb="FFFFFFFF"/>
      <x:name val="Arial"/>
    </x:font>
    <x:font>
      <x:b/>
      <x:sz val="16"/>
      <x:color rgb="FF20354B"/>
      <x:name val="Arial"/>
    </x:font>
    <x:font>
      <x:sz val="11"/>
      <x:color rgb="FF627186"/>
      <x:name val="Arial"/>
    </x:font>
    <x:font>
      <x:b/>
      <x:sz val="11"/>
      <x:color rgb="FF20354B"/>
      <x:name val="Arial"/>
    </x:font>
  </x:fonts>
  <x:fills count="4">
    <x:fill>
      <x:patternFill patternType="none"/>
    </x:fill>
    <x:fill>
      <x:patternFill patternType="gray125"/>
    </x:fill>
    <x:fill>
      <x:patternFill patternType="solid">
        <x:fgColor rgb="FF20354B"/>
      </x:patternFill>
    </x:fill>
    <x:fill>
      <x:patternFill patternType="solid">
        <x:fgColor rgb="FFFFF1CE"/>
      </x:patternFill>
    </x:fill>
  </x:fills>
  <x:borders count="1">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0" borderId="0" xfId="0" applyNumberFormat="1" applyFont="1" applyFill="1" applyBorder="1" applyAlignment="1">
      <x:alignment horizontal="center" vertical="center"/>
    </x:xf>
    <x:xf numFmtId="203"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3" borderId="0" xfId="0" applyNumberFormat="1" applyFont="1" applyFill="1" applyBorder="1" applyAlignment="1">
      <x:alignment vertical="center"/>
    </x:xf>
  </x:cellXfs>
  <x:cellStyles count="1">
    <x:cellStyle name="Normal" xfId="0"/>
  </x:cellStyles>
  <x:dxfs count="2">
    <x:dxf>
      <x:font>
        <x:color rgb="FF7A4B00"/>
      </x:font>
      <x:fill>
        <x:patternFill patternType="solid">
          <x:bgColor rgb="FFFFF1CE"/>
        </x:patternFill>
      </x:fill>
    </x:dxf>
    <x:dxf>
      <x:font>
        <x:color rgb="FFA12622"/>
      </x:font>
      <x:fill>
        <x:patternFill patternType="solid">
          <x:bgColor rgb="FFFBE4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777daea1f94e61" /><Relationship Type="http://schemas.openxmlformats.org/officeDocument/2006/relationships/theme" Target="/xl/theme/theme1.xml" Id="R5d0f0899f3984869" /><Relationship Type="http://schemas.openxmlformats.org/officeDocument/2006/relationships/sharedStrings" Target="/xl/sharedStrings.xml" Id="R00d4fdd801844f60" /><Relationship Type="http://schemas.openxmlformats.org/officeDocument/2006/relationships/worksheet" Target="/xl/worksheets/sheet1.xml" Id="Re915c147133849b7" /><Relationship Type="http://schemas.openxmlformats.org/officeDocument/2006/relationships/worksheet" Target="/xl/worksheets/sheet2.xml" Id="Re04204cd915d49db" /><Relationship Type="http://schemas.openxmlformats.org/officeDocument/2006/relationships/worksheet" Target="/xl/worksheets/sheet3.xml" Id="R65e258be404c4dc8" /><Relationship Type="http://schemas.openxmlformats.org/officeDocument/2006/relationships/worksheet" Target="/xl/worksheets/sheet4.xml" Id="R5957805bdd0a4c76" /><Relationship Type="http://schemas.openxmlformats.org/officeDocument/2006/relationships/worksheet" Target="/xl/worksheets/sheet5.xml" Id="Rdf4a7fb3aea14f8d" /><Relationship Type="http://schemas.openxmlformats.org/officeDocument/2006/relationships/worksheet" Target="/xl/worksheets/sheet6.xml" Id="Re56cdf56dfab45cd" /><Relationship Type="http://schemas.openxmlformats.org/officeDocument/2006/relationships/worksheet" Target="/xl/worksheets/sheet7.xml" Id="R49032e736d8b4008" /></Relationships>
</file>

<file path=xl/tables/table1.xml><?xml version="1.0" encoding="utf-8"?>
<x:table xmlns:x="http://schemas.openxmlformats.org/spreadsheetml/2006/main" id="1" name="CleanedData" displayName="CleanedData" ref="A5:M65" headerRowCount="1" totalsRowCount="0" totalsRowShown="0">
  <x:tableColumns count="13">
    <x:tableColumn id="1" name="Record ID"/>
    <x:tableColumn id="2" name="Count reference"/>
    <x:tableColumn id="3" name="SKU"/>
    <x:tableColumn id="4" name="Description"/>
    <x:tableColumn id="5" name="Bin"/>
    <x:tableColumn id="6" name="Qty"/>
    <x:tableColumn id="7" name="UOM"/>
    <x:tableColumn id="8" name="Unit cost USD"/>
    <x:tableColumn id="9" name="Count date"/>
    <x:tableColumn id="10" name="Disposition"/>
    <x:tableColumn id="11" name="Issue"/>
    <x:tableColumn id="12" name="Related record"/>
    <x:tableColumn id="13" name="Line value USD"/>
  </x:tableColumns>
  <x:tableStyleInfo name="TableStyleMedium2" showFirstColumn="0" showLastColumn="0" showRowStripes="1" showColumnStripes="0"/>
</x:table>
</file>

<file path=xl/tables/table2.xml><?xml version="1.0" encoding="utf-8"?>
<x:table xmlns:x="http://schemas.openxmlformats.org/spreadsheetml/2006/main" id="3" name="ReviewQueue" displayName="ReviewQueue" ref="A5:K15" headerRowCount="1" totalsRowCount="0" totalsRowShown="0">
  <x:tableColumns count="11">
    <x:tableColumn id="1" name="Exception ID"/>
    <x:tableColumn id="2" name="Record ID"/>
    <x:tableColumn id="3" name="Field"/>
    <x:tableColumn id="4" name="Raw value"/>
    <x:tableColumn id="5" name="Issue"/>
    <x:tableColumn id="6" name="Evidence needed"/>
    <x:tableColumn id="7" name="Related record"/>
    <x:tableColumn id="8" name="Review stage"/>
    <x:tableColumn id="9" name="Owner"/>
    <x:tableColumn id="10" name="Proposed correction / evidence"/>
    <x:tableColumn id="11" name="Reviewer / date"/>
  </x:tableColumns>
  <x:tableStyleInfo name="TableStyleMedium2" showFirstColumn="0" showLastColumn="0" showRowStripes="1" showColumnStripes="0"/>
</x:table>
</file>

<file path=xl/tables/table3.xml><?xml version="1.0" encoding="utf-8"?>
<x:table xmlns:x="http://schemas.openxmlformats.org/spreadsheetml/2006/main" id="2" name="RawSource" displayName="RawSource" ref="A5:I65" headerRowCount="1" totalsRowCount="0" totalsRowShown="0">
  <x:tableColumns count="9">
    <x:tableColumn id="1" name="Record ID"/>
    <x:tableColumn id="2" name="Count reference"/>
    <x:tableColumn id="3" name="SKU as received"/>
    <x:tableColumn id="4" name="Description as received"/>
    <x:tableColumn id="5" name="Bin as received"/>
    <x:tableColumn id="6" name="Qty as received"/>
    <x:tableColumn id="7" name="UOM as received"/>
    <x:tableColumn id="8" name="Unit cost as received"/>
    <x:tableColumn id="9" name="Count date as received"/>
  </x:tableColumns>
  <x:tableStyleInfo name="TableStyleMedium2" showFirstColumn="0" showLastColumn="0" showRowStripes="1" showColumnStripes="0"/>
</x:table>
</file>

<file path=xl/tables/table4.xml><?xml version="1.0" encoding="utf-8"?>
<x:table xmlns:x="http://schemas.openxmlformats.org/spreadsheetml/2006/main" id="4" name="PartReference" displayName="PartReference" ref="A5:D21" headerRowCount="1" totalsRowCount="0" totalsRowShown="0">
  <x:tableColumns count="4">
    <x:tableColumn id="1" name="SKU"/>
    <x:tableColumn id="2" name="Canonical description"/>
    <x:tableColumn id="3" name="Stock UOM"/>
    <x:tableColumn id="4" name="Reference cost USD"/>
  </x:tableColumns>
  <x:tableStyleInfo name="TableStyleMedium2" showFirstColumn="0" showLastColumn="0" showRowStripes="1" showColumnStripes="0"/>
</x:table>
</file>

<file path=xl/tables/table5.xml><?xml version="1.0" encoding="utf-8"?>
<x:table xmlns:x="http://schemas.openxmlformats.org/spreadsheetml/2006/main" id="5" name="ChangeLog" displayName="ChangeLog" ref="A5:G310" headerRowCount="1" totalsRowCount="0" totalsRowShown="0">
  <x:tableColumns count="7">
    <x:tableColumn id="1" name="Change ID"/>
    <x:tableColumn id="2" name="Record ID"/>
    <x:tableColumn id="3" name="Field"/>
    <x:tableColumn id="4" name="Before (text)"/>
    <x:tableColumn id="5" name="After (text)"/>
    <x:tableColumn id="6" name="Action"/>
    <x:tableColumn id="7" name="Rule / reason"/>
  </x:tableColumns>
  <x:tableStyleInfo name="TableStyleMedium2" showFirstColumn="0" showLastColumn="0" showRowStripes="1" showColumnStripes="0"/>
</x:table>
</file>

<file path=xl/tables/table6.xml><?xml version="1.0" encoding="utf-8"?>
<x:table xmlns:x="http://schemas.openxmlformats.org/spreadsheetml/2006/main" id="6" name="Documentation" displayName="Documentation" ref="A5:B25" headerRowCount="1" totalsRowCount="0" totalsRowShown="0">
  <x:tableColumns count="2">
    <x:tableColumn id="1" name="Topic"/>
    <x:tableColumn id="2" name="Method and assump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c89da8ac0724d9a" /></Relationships>
</file>

<file path=xl/worksheets/_rels/sheet3.xml.rels>&#65279;<?xml version="1.0" encoding="utf-8"?><Relationships xmlns="http://schemas.openxmlformats.org/package/2006/relationships"><Relationship Type="http://schemas.openxmlformats.org/officeDocument/2006/relationships/table" Target="/xl/tables/table2.xml" Id="Ra2a0542db5644474" /></Relationships>
</file>

<file path=xl/worksheets/_rels/sheet4.xml.rels>&#65279;<?xml version="1.0" encoding="utf-8"?><Relationships xmlns="http://schemas.openxmlformats.org/package/2006/relationships"><Relationship Type="http://schemas.openxmlformats.org/officeDocument/2006/relationships/table" Target="/xl/tables/table3.xml" Id="R21d4a8f063dd4a59" /></Relationships>
</file>

<file path=xl/worksheets/_rels/sheet5.xml.rels>&#65279;<?xml version="1.0" encoding="utf-8"?><Relationships xmlns="http://schemas.openxmlformats.org/package/2006/relationships"><Relationship Type="http://schemas.openxmlformats.org/officeDocument/2006/relationships/table" Target="/xl/tables/table4.xml" Id="R75c688ef3e684cdb" /></Relationships>
</file>

<file path=xl/worksheets/_rels/sheet6.xml.rels>&#65279;<?xml version="1.0" encoding="utf-8"?><Relationships xmlns="http://schemas.openxmlformats.org/package/2006/relationships"><Relationship Type="http://schemas.openxmlformats.org/officeDocument/2006/relationships/table" Target="/xl/tables/table5.xml" Id="R315a145bf106454b" /></Relationships>
</file>

<file path=xl/worksheets/_rels/sheet7.xml.rels>&#65279;<?xml version="1.0" encoding="utf-8"?><Relationships xmlns="http://schemas.openxmlformats.org/package/2006/relationships"><Relationship Type="http://schemas.openxmlformats.org/officeDocument/2006/relationships/table" Target="/xl/tables/table6.xml" Id="R1bf38a50ac3c42b0" /></Relationships>
</file>

<file path=xl/worksheets/sheet1.xml><?xml version="1.0" encoding="utf-8"?>
<x:worksheet xmlns:x="http://schemas.openxmlformats.org/spreadsheetml/2006/main">
  <x:sheetPr>
    <x:tabColor rgb="FF20354B"/>
  </x:sheetPr>
  <x:sheetViews>
    <x:sheetView showGridLines="0" workbookViewId="0"/>
  </x:sheetViews>
  <x:sheetFormatPr defaultRowHeight="15"/>
  <x:cols>
    <x:col min="1" max="1" width="38" hidden="0" customWidth="1"/>
    <x:col min="2" max="2" width="21" hidden="0" customWidth="1"/>
    <x:col min="3" max="3" width="4" hidden="0" customWidth="1"/>
    <x:col min="4" max="4" width="85" hidden="0" customWidth="1"/>
  </x:cols>
  <x:sheetData>
    <x:row r="1" ht="24" customHeight="1">
      <x:c r="A1" s="2"/>
      <x:c r="B1" s="2"/>
      <x:c r="C1" s="2"/>
      <x:c r="D1" s="2"/>
    </x:row>
    <x:row r="2" ht="24" customHeight="1">
      <x:c r="A2" s="7" t="str">
        <x:v>Spreadsheet Rescue</x:v>
      </x:c>
      <x:c r="B2" s="2"/>
      <x:c r="C2" s="2"/>
      <x:c r="D2" s="2"/>
    </x:row>
    <x:row r="3" ht="24" customHeight="1">
      <x:c r="A3" s="8" t="str">
        <x:v>Fink Dataworks · Fictional maintenance storeroom · Snapshot 2026-09-30</x:v>
      </x:c>
      <x:c r="B3" s="2"/>
      <x:c r="C3" s="2"/>
      <x:c r="D3" s="2"/>
    </x:row>
    <x:row r="4" ht="24" customHeight="1">
      <x:c r="A4" s="2"/>
      <x:c r="B4" s="2"/>
      <x:c r="C4" s="2"/>
      <x:c r="D4" s="2"/>
    </x:row>
    <x:row r="5" ht="30" customHeight="1">
      <x:c r="A5" s="4" t="str">
        <x:v>Record outcome</x:v>
      </x:c>
      <x:c r="B5" s="4" t="str">
        <x:v>Rows</x:v>
      </x:c>
      <x:c r="C5" s="2"/>
      <x:c r="D5" s="18" t="str">
        <x:v>What changed</x:v>
      </x:c>
    </x:row>
    <x:row r="6" ht="24" customHeight="1">
      <x:c r="A6" s="2" t="str">
        <x:v>Source rows</x:v>
      </x:c>
      <x:c r="B6" s="2" t="n">
        <x:f>COUNTA('Raw data'!A6:A65)</x:f>
        <x:v>60</x:v>
      </x:c>
      <x:c r="C6" s="2"/>
      <x:c r="D6" s="2" t="str">
        <x:v>Safe formatting and type corrections are applied.</x:v>
      </x:c>
    </x:row>
    <x:row r="7" ht="24" customHeight="1">
      <x:c r="A7" s="2" t="str">
        <x:v>Ready for use</x:v>
      </x:c>
      <x:c r="B7" s="2" t="n">
        <x:f>COUNTIFS(Cleaned!J6:J65,"Ready")</x:f>
        <x:v>48</x:v>
      </x:c>
      <x:c r="C7" s="2"/>
      <x:c r="D7" s="2" t="str">
        <x:v>10 records remain held until supporting evidence is obtained.</x:v>
      </x:c>
    </x:row>
    <x:row r="8" ht="24" customHeight="1">
      <x:c r="A8" s="2" t="str">
        <x:v>Held for review</x:v>
      </x:c>
      <x:c r="B8" s="19" t="n">
        <x:f>COUNTIFS(Cleaned!J6:J65,"Held")</x:f>
        <x:v>10</x:v>
      </x:c>
      <x:c r="C8" s="2"/>
      <x:c r="D8" s="2" t="str">
        <x:v>2 exact repeats are retained and excluded from totals.</x:v>
      </x:c>
    </x:row>
    <x:row r="9" ht="24" customHeight="1">
      <x:c r="A9" s="2" t="str">
        <x:v>Repeated source rows</x:v>
      </x:c>
      <x:c r="B9" s="2" t="n">
        <x:f>COUNTIFS(Cleaned!J6:J65,"Duplicate")</x:f>
        <x:v>2</x:v>
      </x:c>
      <x:c r="C9" s="2"/>
      <x:c r="D9" s="2" t="str">
        <x:v>Similar part codes and leading zeros remain distinct.</x:v>
      </x:c>
    </x:row>
    <x:row r="10" ht="24" customHeight="1">
      <x:c r="A10" s="2" t="str">
        <x:v>Ready share</x:v>
      </x:c>
      <x:c r="B10" s="17" t="n">
        <x:f>B7/B6</x:f>
        <x:v>0.8</x:v>
      </x:c>
      <x:c r="C10" s="2"/>
      <x:c r="D10" s="2" t="str">
        <x:v>All 60 source records can be traced by Record ID.</x:v>
      </x:c>
    </x:row>
    <x:row r="11" ht="24" customHeight="1">
      <x:c r="A11" s="2"/>
      <x:c r="B11" s="2"/>
      <x:c r="C11" s="2"/>
      <x:c r="D11" s="2"/>
    </x:row>
    <x:row r="12" ht="24" customHeight="1">
      <x:c r="A12" s="2"/>
      <x:c r="B12" s="2"/>
      <x:c r="C12" s="2"/>
      <x:c r="D12" s="2"/>
    </x:row>
    <x:row r="13" ht="30" customHeight="1">
      <x:c r="A13" s="4" t="str">
        <x:v>Ready-record valuation</x:v>
      </x:c>
      <x:c r="B13" s="4" t="str">
        <x:v>USD</x:v>
      </x:c>
      <x:c r="C13" s="2"/>
      <x:c r="D13" s="18" t="str">
        <x:v>Read this subtotal correctly</x:v>
      </x:c>
    </x:row>
    <x:row r="14" ht="24" customHeight="1">
      <x:c r="A14" s="2" t="str">
        <x:v>Illustrative value</x:v>
      </x:c>
      <x:c r="B14" s="10" t="n">
        <x:f>IF(COUNTIFS(Cleaned!M6:M65,"Missing input")&gt;0,"Missing input",SUM(Cleaned!M6:M65))</x:f>
        <x:v>21005.8</x:v>
      </x:c>
      <x:c r="C14" s="2"/>
      <x:c r="D14" s="2" t="str">
        <x:v>Value covers Ready records only; unresolved stock is excluded.</x:v>
      </x:c>
    </x:row>
    <x:row r="15" ht="24" customHeight="1">
      <x:c r="A15" s="2"/>
      <x:c r="B15" s="2"/>
      <x:c r="C15" s="2"/>
      <x:c r="D15" s="2" t="str">
        <x:v>No savings or full-inventory value is claimed.</x:v>
      </x:c>
    </x:row>
    <x:row r="16" ht="24" customHeight="1">
      <x:c r="A16" s="2"/>
      <x:c r="B16" s="2"/>
      <x:c r="C16" s="2"/>
      <x:c r="D16" s="2"/>
    </x:row>
    <x:row r="17" ht="30" customHeight="1">
      <x:c r="A17" s="4" t="str">
        <x:v>Reconciliation</x:v>
      </x:c>
      <x:c r="B17" s="4" t="str">
        <x:v>Rows</x:v>
      </x:c>
      <x:c r="C17" s="2"/>
      <x:c r="D17" s="2"/>
    </x:row>
    <x:row r="18" ht="24" customHeight="1">
      <x:c r="A18" s="2" t="str">
        <x:v>Normalized rows</x:v>
      </x:c>
      <x:c r="B18" s="2" t="n">
        <x:f>COUNTA(Cleaned!A6:A65)</x:f>
        <x:v>60</x:v>
      </x:c>
      <x:c r="C18" s="2"/>
      <x:c r="D18" s="18" t="str">
        <x:v>Try the demonstration</x:v>
      </x:c>
    </x:row>
    <x:row r="19" ht="24" customHeight="1">
      <x:c r="A19" s="2" t="str">
        <x:v>Unaccounted source rows</x:v>
      </x:c>
      <x:c r="B19" s="2" t="n">
        <x:f>B6-SUM(B7:B9)</x:f>
        <x:v>0</x:v>
      </x:c>
      <x:c r="C19" s="2"/>
      <x:c r="D19" s="2" t="str">
        <x:v>Compare R001 (valid zero) and R053 (missing cost).</x:v>
      </x:c>
    </x:row>
    <x:row r="20" ht="24" customHeight="1">
      <x:c r="A20" s="2"/>
      <x:c r="B20" s="2"/>
      <x:c r="C20" s="2"/>
      <x:c r="D20" s="2" t="str">
        <x:v>Compare 00127 with 127. They are distinct SKUs.</x:v>
      </x:c>
    </x:row>
    <x:row r="21" ht="24" customHeight="1">
      <x:c r="A21" s="2"/>
      <x:c r="B21" s="2"/>
      <x:c r="C21" s="2"/>
      <x:c r="D21" s="2" t="str">
        <x:v>Filter Cleaned by Held, then open Review queue for evidence requests.</x:v>
      </x:c>
    </x:row>
    <x:row r="22" ht="24" customHeight="1">
      <x:c r="A22" s="2"/>
      <x:c r="B22" s="2"/>
      <x:c r="C22" s="2"/>
      <x:c r="D22" s="2"/>
    </x:row>
    <x:row r="23" ht="24" customHeight="1">
      <x:c r="A23" s="2"/>
      <x:c r="B23" s="2"/>
      <x:c r="C23" s="2"/>
      <x:c r="D23" s="2"/>
    </x:row>
    <x:row r="24" ht="24" customHeight="1">
      <x:c r="A24" s="2"/>
      <x:c r="B24" s="2"/>
      <x:c r="C24" s="2"/>
      <x:c r="D24" s="2"/>
    </x:row>
    <x:row r="25" ht="24" customHeight="1">
      <x:c r="A25" s="2"/>
      <x:c r="B25" s="2"/>
      <x:c r="C25" s="2"/>
      <x:c r="D25" s="2"/>
    </x:row>
    <x:row r="26" ht="24" customHeight="1">
      <x:c r="A26" s="2"/>
      <x:c r="B26" s="2"/>
      <x:c r="C26" s="2"/>
      <x:c r="D26" s="2"/>
    </x:row>
  </x:sheetData>
  <x:conditionalFormatting sqref="B19:B19">
    <x:cfRule type="cellIs" dxfId="1" priority="1" operator="notEqual">
      <x:formula>0</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4" hidden="0" customWidth="1"/>
    <x:col min="2" max="2" width="19" hidden="0" customWidth="1"/>
    <x:col min="3" max="3" width="21" hidden="0" customWidth="1"/>
    <x:col min="4" max="4" width="43" hidden="0" customWidth="1"/>
    <x:col min="5" max="5" width="12" hidden="0" customWidth="1"/>
    <x:col min="6" max="6" width="12" hidden="0" customWidth="1"/>
    <x:col min="7" max="7" width="12" hidden="0" customWidth="1"/>
    <x:col min="8" max="8" width="17" hidden="0" customWidth="1"/>
    <x:col min="9" max="9" width="16" hidden="0" customWidth="1"/>
    <x:col min="10" max="10" width="16" hidden="0" customWidth="1"/>
    <x:col min="11" max="11" width="30" hidden="0" customWidth="1"/>
    <x:col min="12" max="12" width="18" hidden="0" customWidth="1"/>
    <x:col min="13" max="13" width="19" hidden="0" customWidth="1"/>
  </x:cols>
  <x:sheetData>
    <x:row r="1" ht="24" customHeight="1">
      <x:c r="A1" s="2"/>
      <x:c r="B1" s="2"/>
      <x:c r="C1" s="2"/>
      <x:c r="D1" s="2"/>
      <x:c r="E1" s="2"/>
      <x:c r="F1" s="2"/>
      <x:c r="G1" s="2"/>
      <x:c r="H1" s="2"/>
      <x:c r="I1" s="2"/>
      <x:c r="J1" s="2"/>
      <x:c r="K1" s="2"/>
      <x:c r="L1" s="2"/>
      <x:c r="M1" s="2"/>
    </x:row>
    <x:row r="2" ht="24" customHeight="1">
      <x:c r="A2" s="7" t="str">
        <x:v>Normalized inventory records</x:v>
      </x:c>
      <x:c r="B2" s="2"/>
      <x:c r="C2" s="2"/>
      <x:c r="D2" s="2"/>
      <x:c r="E2" s="2"/>
      <x:c r="F2" s="2"/>
      <x:c r="G2" s="2"/>
      <x:c r="H2" s="2"/>
      <x:c r="I2" s="2"/>
      <x:c r="J2" s="2"/>
      <x:c r="K2" s="2"/>
      <x:c r="L2" s="2"/>
      <x:c r="M2" s="2"/>
    </x:row>
    <x:row r="3" ht="24" customHeight="1">
      <x:c r="A3" s="8" t="str">
        <x:v>All 60 source rows retained. Filter Disposition = Ready for the usable extract. Blank fields are withheld, not zero.</x:v>
      </x:c>
      <x:c r="B3" s="2"/>
      <x:c r="C3" s="2"/>
      <x:c r="D3" s="2"/>
      <x:c r="E3" s="2"/>
      <x:c r="F3" s="2"/>
      <x:c r="G3" s="2"/>
      <x:c r="H3" s="2"/>
      <x:c r="I3" s="2"/>
      <x:c r="J3" s="2"/>
      <x:c r="K3" s="2"/>
      <x:c r="L3" s="2"/>
      <x:c r="M3" s="2"/>
    </x:row>
    <x:row r="4" ht="24" customHeight="1">
      <x:c r="A4" s="2"/>
      <x:c r="B4" s="2"/>
      <x:c r="C4" s="2"/>
      <x:c r="D4" s="2"/>
      <x:c r="E4" s="2"/>
      <x:c r="F4" s="2"/>
      <x:c r="G4" s="2"/>
      <x:c r="H4" s="2"/>
      <x:c r="I4" s="2"/>
      <x:c r="J4" s="2"/>
      <x:c r="K4" s="2"/>
      <x:c r="L4" s="2"/>
      <x:c r="M4" s="2"/>
    </x:row>
    <x:row r="5" ht="34" customHeight="1">
      <x:c r="A5" s="6" t="str">
        <x:v>Record ID</x:v>
      </x:c>
      <x:c r="B5" s="6" t="str">
        <x:v>Count reference</x:v>
      </x:c>
      <x:c r="C5" s="6" t="str">
        <x:v>SKU</x:v>
      </x:c>
      <x:c r="D5" s="6" t="str">
        <x:v>Description</x:v>
      </x:c>
      <x:c r="E5" s="6" t="str">
        <x:v>Bin</x:v>
      </x:c>
      <x:c r="F5" s="6" t="str">
        <x:v>Qty</x:v>
      </x:c>
      <x:c r="G5" s="6" t="str">
        <x:v>UOM</x:v>
      </x:c>
      <x:c r="H5" s="6" t="str">
        <x:v>Unit cost USD</x:v>
      </x:c>
      <x:c r="I5" s="6" t="str">
        <x:v>Count date</x:v>
      </x:c>
      <x:c r="J5" s="6" t="str">
        <x:v>Disposition</x:v>
      </x:c>
      <x:c r="K5" s="6" t="str">
        <x:v>Issue</x:v>
      </x:c>
      <x:c r="L5" s="6" t="str">
        <x:v>Related record</x:v>
      </x:c>
      <x:c r="M5" s="6" t="str">
        <x:v>Line value USD</x:v>
      </x:c>
    </x:row>
    <x:row r="6" ht="24" customHeight="1">
      <x:c r="A6" s="2" t="str">
        <x:v>R001</x:v>
      </x:c>
      <x:c r="B6" s="2" t="str">
        <x:v>CNT-001</x:v>
      </x:c>
      <x:c r="C6" s="2" t="str">
        <x:v>BRG-6205-2RS</x:v>
      </x:c>
      <x:c r="D6" s="2" t="str">
        <x:v>Bearing 6205, rubber seals</x:v>
      </x:c>
      <x:c r="E6" s="2" t="str">
        <x:v>A-01</x:v>
      </x:c>
      <x:c r="F6" s="9" t="n">
        <x:v>0</x:v>
      </x:c>
      <x:c r="G6" s="2" t="str">
        <x:v>EA</x:v>
      </x:c>
      <x:c r="H6" s="10" t="n">
        <x:v>18.5</x:v>
      </x:c>
      <x:c r="I6" s="12" t="n">
        <x:v>46295</x:v>
      </x:c>
      <x:c r="J6" s="2" t="str">
        <x:v>Ready</x:v>
      </x:c>
      <x:c r="K6" s="2" t="str"/>
      <x:c r="L6" s="2" t="str"/>
      <x:c r="M6" s="10" t="n">
        <x:f>IF(J6&lt;&gt;"Ready","",IF(AND(ISNUMBER(F6),ISNUMBER(H6)),ROUND(F6*H6,2),"Missing input"))</x:f>
        <x:v>0</x:v>
      </x:c>
    </x:row>
    <x:row r="7" ht="24" customHeight="1">
      <x:c r="A7" s="2" t="str">
        <x:v>R002</x:v>
      </x:c>
      <x:c r="B7" s="2" t="str">
        <x:v>CNT-002</x:v>
      </x:c>
      <x:c r="C7" s="2" t="str">
        <x:v>BRG-6205-ZZ</x:v>
      </x:c>
      <x:c r="D7" s="2" t="str">
        <x:v>Bearing 6205, metal shields</x:v>
      </x:c>
      <x:c r="E7" s="2" t="str">
        <x:v>A-02</x:v>
      </x:c>
      <x:c r="F7" s="9" t="n">
        <x:v>8</x:v>
      </x:c>
      <x:c r="G7" s="2" t="str">
        <x:v>EA</x:v>
      </x:c>
      <x:c r="H7" s="10" t="n">
        <x:v>16.75</x:v>
      </x:c>
      <x:c r="I7" s="12" t="n">
        <x:v>46295</x:v>
      </x:c>
      <x:c r="J7" s="2" t="str">
        <x:v>Ready</x:v>
      </x:c>
      <x:c r="K7" s="2" t="str"/>
      <x:c r="L7" s="2" t="str"/>
      <x:c r="M7" s="10" t="n">
        <x:f>IF(J7&lt;&gt;"Ready","",IF(AND(ISNUMBER(F7),ISNUMBER(H7)),ROUND(F7*H7,2),"Missing input"))</x:f>
        <x:v>134</x:v>
      </x:c>
    </x:row>
    <x:row r="8" ht="24" customHeight="1">
      <x:c r="A8" s="2" t="str">
        <x:v>R003</x:v>
      </x:c>
      <x:c r="B8" s="2" t="str">
        <x:v>CNT-003</x:v>
      </x:c>
      <x:c r="C8" s="2" t="str">
        <x:v>FLT-H100</x:v>
      </x:c>
      <x:c r="D8" s="2" t="str">
        <x:v>Hydraulic return filter H100</x:v>
      </x:c>
      <x:c r="E8" s="2" t="str">
        <x:v>A-03</x:v>
      </x:c>
      <x:c r="F8" s="9" t="n">
        <x:v>15</x:v>
      </x:c>
      <x:c r="G8" s="2" t="str">
        <x:v>EA</x:v>
      </x:c>
      <x:c r="H8" s="10" t="n">
        <x:v>42</x:v>
      </x:c>
      <x:c r="I8" s="12" t="n">
        <x:v>46295</x:v>
      </x:c>
      <x:c r="J8" s="2" t="str">
        <x:v>Ready</x:v>
      </x:c>
      <x:c r="K8" s="2" t="str"/>
      <x:c r="L8" s="2" t="str"/>
      <x:c r="M8" s="10" t="n">
        <x:f>IF(J8&lt;&gt;"Ready","",IF(AND(ISNUMBER(F8),ISNUMBER(H8)),ROUND(F8*H8,2),"Missing input"))</x:f>
        <x:v>630</x:v>
      </x:c>
    </x:row>
    <x:row r="9" ht="24" customHeight="1">
      <x:c r="A9" s="2" t="str">
        <x:v>R004</x:v>
      </x:c>
      <x:c r="B9" s="2" t="str">
        <x:v>CNT-004</x:v>
      </x:c>
      <x:c r="C9" s="2" t="str">
        <x:v>FLT-H100A</x:v>
      </x:c>
      <x:c r="D9" s="2" t="str">
        <x:v>Hydraulic return filter H100A</x:v>
      </x:c>
      <x:c r="E9" s="2" t="str">
        <x:v>A-04</x:v>
      </x:c>
      <x:c r="F9" s="9" t="n">
        <x:v>22</x:v>
      </x:c>
      <x:c r="G9" s="2" t="str">
        <x:v>EA</x:v>
      </x:c>
      <x:c r="H9" s="10" t="n">
        <x:v>46.8</x:v>
      </x:c>
      <x:c r="I9" s="12" t="n">
        <x:v>46295</x:v>
      </x:c>
      <x:c r="J9" s="2" t="str">
        <x:v>Ready</x:v>
      </x:c>
      <x:c r="K9" s="2" t="str"/>
      <x:c r="L9" s="2" t="str"/>
      <x:c r="M9" s="10" t="n">
        <x:f>IF(J9&lt;&gt;"Ready","",IF(AND(ISNUMBER(F9),ISNUMBER(H9)),ROUND(F9*H9,2),"Missing input"))</x:f>
        <x:v>1029.6</x:v>
      </x:c>
    </x:row>
    <x:row r="10" ht="24" customHeight="1">
      <x:c r="A10" s="2" t="str">
        <x:v>R005</x:v>
      </x:c>
      <x:c r="B10" s="2" t="str">
        <x:v>CNT-005</x:v>
      </x:c>
      <x:c r="C10" s="2" t="str">
        <x:v>BELT-B42</x:v>
      </x:c>
      <x:c r="D10" s="2" t="str">
        <x:v>V-belt B42</x:v>
      </x:c>
      <x:c r="E10" s="2" t="str">
        <x:v>A-05</x:v>
      </x:c>
      <x:c r="F10" s="9" t="n">
        <x:v>29</x:v>
      </x:c>
      <x:c r="G10" s="2" t="str">
        <x:v>EA</x:v>
      </x:c>
      <x:c r="H10" s="10" t="n">
        <x:v>23.4</x:v>
      </x:c>
      <x:c r="I10" s="12" t="n">
        <x:v>46295</x:v>
      </x:c>
      <x:c r="J10" s="2" t="str">
        <x:v>Ready</x:v>
      </x:c>
      <x:c r="K10" s="2" t="str"/>
      <x:c r="L10" s="2" t="str"/>
      <x:c r="M10" s="10" t="n">
        <x:f>IF(J10&lt;&gt;"Ready","",IF(AND(ISNUMBER(F10),ISNUMBER(H10)),ROUND(F10*H10,2),"Missing input"))</x:f>
        <x:v>678.6</x:v>
      </x:c>
    </x:row>
    <x:row r="11" ht="24" customHeight="1">
      <x:c r="A11" s="2" t="str">
        <x:v>R006</x:v>
      </x:c>
      <x:c r="B11" s="2" t="str">
        <x:v>CNT-006</x:v>
      </x:c>
      <x:c r="C11" s="2" t="str">
        <x:v>BELT-B43</x:v>
      </x:c>
      <x:c r="D11" s="2" t="str">
        <x:v>V-belt B43</x:v>
      </x:c>
      <x:c r="E11" s="2" t="str">
        <x:v>A-06</x:v>
      </x:c>
      <x:c r="F11" s="9" t="n">
        <x:v>36</x:v>
      </x:c>
      <x:c r="G11" s="2" t="str">
        <x:v>EA</x:v>
      </x:c>
      <x:c r="H11" s="10" t="n">
        <x:v>24.2</x:v>
      </x:c>
      <x:c r="I11" s="12" t="n">
        <x:v>46295</x:v>
      </x:c>
      <x:c r="J11" s="2" t="str">
        <x:v>Ready</x:v>
      </x:c>
      <x:c r="K11" s="2" t="str"/>
      <x:c r="L11" s="2" t="str"/>
      <x:c r="M11" s="10" t="n">
        <x:f>IF(J11&lt;&gt;"Ready","",IF(AND(ISNUMBER(F11),ISNUMBER(H11)),ROUND(F11*H11,2),"Missing input"))</x:f>
        <x:v>871.2</x:v>
      </x:c>
    </x:row>
    <x:row r="12" ht="24" customHeight="1">
      <x:c r="A12" s="2" t="str">
        <x:v>R007</x:v>
      </x:c>
      <x:c r="B12" s="2" t="str">
        <x:v>CNT-007</x:v>
      </x:c>
      <x:c r="C12" s="2" t="str">
        <x:v>SEAL-040</x:v>
      </x:c>
      <x:c r="D12" s="2" t="str">
        <x:v>Shaft seal 40 mm</x:v>
      </x:c>
      <x:c r="E12" s="2" t="str">
        <x:v>A-07</x:v>
      </x:c>
      <x:c r="F12" s="9" t="n">
        <x:v>43</x:v>
      </x:c>
      <x:c r="G12" s="2" t="str">
        <x:v>EA</x:v>
      </x:c>
      <x:c r="H12" s="10" t="n">
        <x:v>8.6</x:v>
      </x:c>
      <x:c r="I12" s="12" t="n">
        <x:v>46295</x:v>
      </x:c>
      <x:c r="J12" s="2" t="str">
        <x:v>Ready</x:v>
      </x:c>
      <x:c r="K12" s="2" t="str"/>
      <x:c r="L12" s="2" t="str"/>
      <x:c r="M12" s="10" t="n">
        <x:f>IF(J12&lt;&gt;"Ready","",IF(AND(ISNUMBER(F12),ISNUMBER(H12)),ROUND(F12*H12,2),"Missing input"))</x:f>
        <x:v>369.8</x:v>
      </x:c>
    </x:row>
    <x:row r="13" ht="24" customHeight="1">
      <x:c r="A13" s="2" t="str">
        <x:v>R008</x:v>
      </x:c>
      <x:c r="B13" s="2" t="str">
        <x:v>CNT-008</x:v>
      </x:c>
      <x:c r="C13" s="2" t="str">
        <x:v>SEAL-045</x:v>
      </x:c>
      <x:c r="D13" s="2" t="str">
        <x:v>Shaft seal 45 mm</x:v>
      </x:c>
      <x:c r="E13" s="2" t="str">
        <x:v>A-08</x:v>
      </x:c>
      <x:c r="F13" s="9" t="n">
        <x:v>5</x:v>
      </x:c>
      <x:c r="G13" s="2" t="str">
        <x:v>EA</x:v>
      </x:c>
      <x:c r="H13" s="10" t="n">
        <x:v>9.1</x:v>
      </x:c>
      <x:c r="I13" s="12" t="n">
        <x:v>46295</x:v>
      </x:c>
      <x:c r="J13" s="2" t="str">
        <x:v>Ready</x:v>
      </x:c>
      <x:c r="K13" s="2" t="str"/>
      <x:c r="L13" s="2" t="str"/>
      <x:c r="M13" s="10" t="n">
        <x:f>IF(J13&lt;&gt;"Ready","",IF(AND(ISNUMBER(F13),ISNUMBER(H13)),ROUND(F13*H13,2),"Missing input"))</x:f>
        <x:v>45.5</x:v>
      </x:c>
    </x:row>
    <x:row r="14" ht="24" customHeight="1">
      <x:c r="A14" s="2" t="str">
        <x:v>R009</x:v>
      </x:c>
      <x:c r="B14" s="2" t="str">
        <x:v>CNT-009</x:v>
      </x:c>
      <x:c r="C14" s="2" t="str">
        <x:v>BOLT-M12-40</x:v>
      </x:c>
      <x:c r="D14" s="2" t="str">
        <x:v>Bolt M12 x 40 mm</x:v>
      </x:c>
      <x:c r="E14" s="2" t="str">
        <x:v>A-09</x:v>
      </x:c>
      <x:c r="F14" s="9" t="n">
        <x:v>12</x:v>
      </x:c>
      <x:c r="G14" s="2" t="str">
        <x:v>EA</x:v>
      </x:c>
      <x:c r="H14" s="10" t="n">
        <x:v>0.85</x:v>
      </x:c>
      <x:c r="I14" s="12" t="n">
        <x:v>46295</x:v>
      </x:c>
      <x:c r="J14" s="2" t="str">
        <x:v>Ready</x:v>
      </x:c>
      <x:c r="K14" s="2" t="str"/>
      <x:c r="L14" s="2" t="str"/>
      <x:c r="M14" s="10" t="n">
        <x:f>IF(J14&lt;&gt;"Ready","",IF(AND(ISNUMBER(F14),ISNUMBER(H14)),ROUND(F14*H14,2),"Missing input"))</x:f>
        <x:v>10.2</x:v>
      </x:c>
    </x:row>
    <x:row r="15" ht="24" customHeight="1">
      <x:c r="A15" s="2" t="str">
        <x:v>R010</x:v>
      </x:c>
      <x:c r="B15" s="2" t="str">
        <x:v>CNT-010</x:v>
      </x:c>
      <x:c r="C15" s="2" t="str">
        <x:v>BOLT-M12-50</x:v>
      </x:c>
      <x:c r="D15" s="2" t="str">
        <x:v>Bolt M12 x 50 mm</x:v>
      </x:c>
      <x:c r="E15" s="2" t="str">
        <x:v>A-10</x:v>
      </x:c>
      <x:c r="F15" s="9" t="n">
        <x:v>19</x:v>
      </x:c>
      <x:c r="G15" s="2" t="str">
        <x:v>EA</x:v>
      </x:c>
      <x:c r="H15" s="10" t="n">
        <x:v>0.95</x:v>
      </x:c>
      <x:c r="I15" s="12" t="n">
        <x:v>46295</x:v>
      </x:c>
      <x:c r="J15" s="2" t="str">
        <x:v>Ready</x:v>
      </x:c>
      <x:c r="K15" s="2" t="str"/>
      <x:c r="L15" s="2" t="str"/>
      <x:c r="M15" s="10" t="n">
        <x:f>IF(J15&lt;&gt;"Ready","",IF(AND(ISNUMBER(F15),ISNUMBER(H15)),ROUND(F15*H15,2),"Missing input"))</x:f>
        <x:v>18.05</x:v>
      </x:c>
    </x:row>
    <x:row r="16" ht="24" customHeight="1">
      <x:c r="A16" s="2" t="str">
        <x:v>R011</x:v>
      </x:c>
      <x:c r="B16" s="2" t="str">
        <x:v>CNT-011</x:v>
      </x:c>
      <x:c r="C16" s="2" t="str">
        <x:v>HOSE-038</x:v>
      </x:c>
      <x:c r="D16" s="2" t="str">
        <x:v>Hydraulic hose, 3/8 inch</x:v>
      </x:c>
      <x:c r="E16" s="2" t="str">
        <x:v>A-11</x:v>
      </x:c>
      <x:c r="F16" s="9" t="n">
        <x:v>17.5</x:v>
      </x:c>
      <x:c r="G16" s="2" t="str">
        <x:v>M</x:v>
      </x:c>
      <x:c r="H16" s="10" t="n">
        <x:v>12.5</x:v>
      </x:c>
      <x:c r="I16" s="12" t="n">
        <x:v>46295</x:v>
      </x:c>
      <x:c r="J16" s="2" t="str">
        <x:v>Ready</x:v>
      </x:c>
      <x:c r="K16" s="2" t="str"/>
      <x:c r="L16" s="2" t="str"/>
      <x:c r="M16" s="10" t="n">
        <x:f>IF(J16&lt;&gt;"Ready","",IF(AND(ISNUMBER(F16),ISNUMBER(H16)),ROUND(F16*H16,2),"Missing input"))</x:f>
        <x:v>218.75</x:v>
      </x:c>
    </x:row>
    <x:row r="17" ht="24" customHeight="1">
      <x:c r="A17" s="2" t="str">
        <x:v>R012</x:v>
      </x:c>
      <x:c r="B17" s="2" t="str">
        <x:v>CNT-012</x:v>
      </x:c>
      <x:c r="C17" s="2" t="str">
        <x:v>HOSE-050</x:v>
      </x:c>
      <x:c r="D17" s="2" t="str">
        <x:v>Hydraulic hose, 1/2 inch</x:v>
      </x:c>
      <x:c r="E17" s="2" t="str">
        <x:v>A-12</x:v>
      </x:c>
      <x:c r="F17" s="9" t="n">
        <x:v>23</x:v>
      </x:c>
      <x:c r="G17" s="2" t="str">
        <x:v>M</x:v>
      </x:c>
      <x:c r="H17" s="10" t="n">
        <x:v>15.8</x:v>
      </x:c>
      <x:c r="I17" s="12" t="n">
        <x:v>46295</x:v>
      </x:c>
      <x:c r="J17" s="2" t="str">
        <x:v>Ready</x:v>
      </x:c>
      <x:c r="K17" s="2" t="str"/>
      <x:c r="L17" s="2" t="str"/>
      <x:c r="M17" s="10" t="n">
        <x:f>IF(J17&lt;&gt;"Ready","",IF(AND(ISNUMBER(F17),ISNUMBER(H17)),ROUND(F17*H17,2),"Missing input"))</x:f>
        <x:v>363.4</x:v>
      </x:c>
    </x:row>
    <x:row r="18" ht="24" customHeight="1">
      <x:c r="A18" s="2" t="str">
        <x:v>R013</x:v>
      </x:c>
      <x:c r="B18" s="2" t="str">
        <x:v>CNT-013</x:v>
      </x:c>
      <x:c r="C18" s="2" t="str">
        <x:v>GREASE-EP2</x:v>
      </x:c>
      <x:c r="D18" s="2" t="str">
        <x:v>EP2 grease</x:v>
      </x:c>
      <x:c r="E18" s="2" t="str">
        <x:v>A-13</x:v>
      </x:c>
      <x:c r="F18" s="9" t="n">
        <x:v>28.5</x:v>
      </x:c>
      <x:c r="G18" s="2" t="str">
        <x:v>KG</x:v>
      </x:c>
      <x:c r="H18" s="10" t="n">
        <x:v>7.9</x:v>
      </x:c>
      <x:c r="I18" s="12" t="n">
        <x:v>46295</x:v>
      </x:c>
      <x:c r="J18" s="2" t="str">
        <x:v>Ready</x:v>
      </x:c>
      <x:c r="K18" s="2" t="str"/>
      <x:c r="L18" s="2" t="str"/>
      <x:c r="M18" s="10" t="n">
        <x:f>IF(J18&lt;&gt;"Ready","",IF(AND(ISNUMBER(F18),ISNUMBER(H18)),ROUND(F18*H18,2),"Missing input"))</x:f>
        <x:v>225.15</x:v>
      </x:c>
    </x:row>
    <x:row r="19" ht="24" customHeight="1">
      <x:c r="A19" s="2" t="str">
        <x:v>R014</x:v>
      </x:c>
      <x:c r="B19" s="2" t="str">
        <x:v>CNT-014</x:v>
      </x:c>
      <x:c r="C19" s="2" t="str">
        <x:v>OIL-ISO46</x:v>
      </x:c>
      <x:c r="D19" s="2" t="str">
        <x:v>Hydraulic oil ISO 46</x:v>
      </x:c>
      <x:c r="E19" s="2" t="str">
        <x:v>A-14</x:v>
      </x:c>
      <x:c r="F19" s="9" t="n">
        <x:v>34</x:v>
      </x:c>
      <x:c r="G19" s="2" t="str">
        <x:v>L</x:v>
      </x:c>
      <x:c r="H19" s="10" t="n">
        <x:v>5.6</x:v>
      </x:c>
      <x:c r="I19" s="12" t="n">
        <x:v>46295</x:v>
      </x:c>
      <x:c r="J19" s="2" t="str">
        <x:v>Ready</x:v>
      </x:c>
      <x:c r="K19" s="2" t="str"/>
      <x:c r="L19" s="2" t="str"/>
      <x:c r="M19" s="10" t="n">
        <x:f>IF(J19&lt;&gt;"Ready","",IF(AND(ISNUMBER(F19),ISNUMBER(H19)),ROUND(F19*H19,2),"Missing input"))</x:f>
        <x:v>190.4</x:v>
      </x:c>
    </x:row>
    <x:row r="20" ht="24" customHeight="1">
      <x:c r="A20" s="2" t="str">
        <x:v>R015</x:v>
      </x:c>
      <x:c r="B20" s="2" t="str">
        <x:v>CNT-015</x:v>
      </x:c>
      <x:c r="C20" s="2" t="str">
        <x:v>00127</x:v>
      </x:c>
      <x:c r="D20" s="2" t="str">
        <x:v>Conveyor scraper insert, type A</x:v>
      </x:c>
      <x:c r="E20" s="2" t="str">
        <x:v>A-15</x:v>
      </x:c>
      <x:c r="F20" s="9" t="n">
        <x:v>9</x:v>
      </x:c>
      <x:c r="G20" s="2" t="str">
        <x:v>EA</x:v>
      </x:c>
      <x:c r="H20" s="10" t="n">
        <x:v>31</x:v>
      </x:c>
      <x:c r="I20" s="12" t="n">
        <x:v>46295</x:v>
      </x:c>
      <x:c r="J20" s="2" t="str">
        <x:v>Ready</x:v>
      </x:c>
      <x:c r="K20" s="2" t="str"/>
      <x:c r="L20" s="2" t="str"/>
      <x:c r="M20" s="10" t="n">
        <x:f>IF(J20&lt;&gt;"Ready","",IF(AND(ISNUMBER(F20),ISNUMBER(H20)),ROUND(F20*H20,2),"Missing input"))</x:f>
        <x:v>279</x:v>
      </x:c>
    </x:row>
    <x:row r="21" ht="24" customHeight="1">
      <x:c r="A21" s="2" t="str">
        <x:v>R016</x:v>
      </x:c>
      <x:c r="B21" s="2" t="str">
        <x:v>CNT-016</x:v>
      </x:c>
      <x:c r="C21" s="2" t="str">
        <x:v>127</x:v>
      </x:c>
      <x:c r="D21" s="2" t="str">
        <x:v>Conveyor scraper insert, type B</x:v>
      </x:c>
      <x:c r="E21" s="2" t="str">
        <x:v>A-16</x:v>
      </x:c>
      <x:c r="F21" s="9" t="n">
        <x:v>16</x:v>
      </x:c>
      <x:c r="G21" s="2" t="str">
        <x:v>EA</x:v>
      </x:c>
      <x:c r="H21" s="10" t="n">
        <x:v>34</x:v>
      </x:c>
      <x:c r="I21" s="12" t="n">
        <x:v>46295</x:v>
      </x:c>
      <x:c r="J21" s="2" t="str">
        <x:v>Ready</x:v>
      </x:c>
      <x:c r="K21" s="2" t="str"/>
      <x:c r="L21" s="2" t="str"/>
      <x:c r="M21" s="10" t="n">
        <x:f>IF(J21&lt;&gt;"Ready","",IF(AND(ISNUMBER(F21),ISNUMBER(H21)),ROUND(F21*H21,2),"Missing input"))</x:f>
        <x:v>544</x:v>
      </x:c>
    </x:row>
    <x:row r="22" ht="24" customHeight="1">
      <x:c r="A22" s="2" t="str">
        <x:v>R017</x:v>
      </x:c>
      <x:c r="B22" s="2" t="str">
        <x:v>CNT-017</x:v>
      </x:c>
      <x:c r="C22" s="2" t="str">
        <x:v>BRG-6205-2RS</x:v>
      </x:c>
      <x:c r="D22" s="2" t="str">
        <x:v>Bearing 6205, rubber seals</x:v>
      </x:c>
      <x:c r="E22" s="2" t="str">
        <x:v>B-01</x:v>
      </x:c>
      <x:c r="F22" s="9" t="n">
        <x:v>23</x:v>
      </x:c>
      <x:c r="G22" s="2" t="str">
        <x:v>EA</x:v>
      </x:c>
      <x:c r="H22" s="10" t="n">
        <x:v>18.5</x:v>
      </x:c>
      <x:c r="I22" s="12" t="n">
        <x:v>46295</x:v>
      </x:c>
      <x:c r="J22" s="2" t="str">
        <x:v>Ready</x:v>
      </x:c>
      <x:c r="K22" s="2" t="str"/>
      <x:c r="L22" s="2" t="str"/>
      <x:c r="M22" s="10" t="n">
        <x:f>IF(J22&lt;&gt;"Ready","",IF(AND(ISNUMBER(F22),ISNUMBER(H22)),ROUND(F22*H22,2),"Missing input"))</x:f>
        <x:v>425.5</x:v>
      </x:c>
    </x:row>
    <x:row r="23" ht="24" customHeight="1">
      <x:c r="A23" s="2" t="str">
        <x:v>R018</x:v>
      </x:c>
      <x:c r="B23" s="2" t="str">
        <x:v>CNT-018</x:v>
      </x:c>
      <x:c r="C23" s="2" t="str">
        <x:v>BRG-6205-ZZ</x:v>
      </x:c>
      <x:c r="D23" s="2" t="str">
        <x:v>Bearing 6205, metal shields</x:v>
      </x:c>
      <x:c r="E23" s="2" t="str">
        <x:v>B-02</x:v>
      </x:c>
      <x:c r="F23" s="9" t="n">
        <x:v>30</x:v>
      </x:c>
      <x:c r="G23" s="2" t="str">
        <x:v>EA</x:v>
      </x:c>
      <x:c r="H23" s="10" t="n">
        <x:v>16.75</x:v>
      </x:c>
      <x:c r="I23" s="12" t="n">
        <x:v>46295</x:v>
      </x:c>
      <x:c r="J23" s="2" t="str">
        <x:v>Ready</x:v>
      </x:c>
      <x:c r="K23" s="2" t="str"/>
      <x:c r="L23" s="2" t="str"/>
      <x:c r="M23" s="10" t="n">
        <x:f>IF(J23&lt;&gt;"Ready","",IF(AND(ISNUMBER(F23),ISNUMBER(H23)),ROUND(F23*H23,2),"Missing input"))</x:f>
        <x:v>502.5</x:v>
      </x:c>
    </x:row>
    <x:row r="24" ht="24" customHeight="1">
      <x:c r="A24" s="2" t="str">
        <x:v>R019</x:v>
      </x:c>
      <x:c r="B24" s="2" t="str">
        <x:v>CNT-019</x:v>
      </x:c>
      <x:c r="C24" s="2" t="str">
        <x:v>FLT-H100</x:v>
      </x:c>
      <x:c r="D24" s="2" t="str">
        <x:v>Hydraulic return filter H100</x:v>
      </x:c>
      <x:c r="E24" s="2" t="str">
        <x:v>B-03</x:v>
      </x:c>
      <x:c r="F24" s="9" t="n">
        <x:v>37</x:v>
      </x:c>
      <x:c r="G24" s="2" t="str">
        <x:v>EA</x:v>
      </x:c>
      <x:c r="H24" s="10" t="n">
        <x:v>42</x:v>
      </x:c>
      <x:c r="I24" s="12" t="n">
        <x:v>46295</x:v>
      </x:c>
      <x:c r="J24" s="2" t="str">
        <x:v>Ready</x:v>
      </x:c>
      <x:c r="K24" s="2" t="str"/>
      <x:c r="L24" s="2" t="str"/>
      <x:c r="M24" s="10" t="n">
        <x:f>IF(J24&lt;&gt;"Ready","",IF(AND(ISNUMBER(F24),ISNUMBER(H24)),ROUND(F24*H24,2),"Missing input"))</x:f>
        <x:v>1554</x:v>
      </x:c>
    </x:row>
    <x:row r="25" ht="24" customHeight="1">
      <x:c r="A25" s="2" t="str">
        <x:v>R020</x:v>
      </x:c>
      <x:c r="B25" s="2" t="str">
        <x:v>CNT-020</x:v>
      </x:c>
      <x:c r="C25" s="2" t="str">
        <x:v>FLT-H100A</x:v>
      </x:c>
      <x:c r="D25" s="2" t="str">
        <x:v>Hydraulic return filter H100A</x:v>
      </x:c>
      <x:c r="E25" s="2" t="str">
        <x:v>B-04</x:v>
      </x:c>
      <x:c r="F25" s="9" t="n">
        <x:v>44</x:v>
      </x:c>
      <x:c r="G25" s="2" t="str">
        <x:v>EA</x:v>
      </x:c>
      <x:c r="H25" s="10" t="n">
        <x:v>46.8</x:v>
      </x:c>
      <x:c r="I25" s="12" t="n">
        <x:v>46295</x:v>
      </x:c>
      <x:c r="J25" s="2" t="str">
        <x:v>Ready</x:v>
      </x:c>
      <x:c r="K25" s="2" t="str"/>
      <x:c r="L25" s="2" t="str"/>
      <x:c r="M25" s="10" t="n">
        <x:f>IF(J25&lt;&gt;"Ready","",IF(AND(ISNUMBER(F25),ISNUMBER(H25)),ROUND(F25*H25,2),"Missing input"))</x:f>
        <x:v>2059.2</x:v>
      </x:c>
    </x:row>
    <x:row r="26" ht="24" customHeight="1">
      <x:c r="A26" s="2" t="str">
        <x:v>R021</x:v>
      </x:c>
      <x:c r="B26" s="2" t="str">
        <x:v>CNT-021</x:v>
      </x:c>
      <x:c r="C26" s="2" t="str">
        <x:v>BELT-B42</x:v>
      </x:c>
      <x:c r="D26" s="2" t="str">
        <x:v>V-belt B42</x:v>
      </x:c>
      <x:c r="E26" s="2" t="str">
        <x:v>B-05</x:v>
      </x:c>
      <x:c r="F26" s="9" t="n">
        <x:v>6</x:v>
      </x:c>
      <x:c r="G26" s="2" t="str">
        <x:v>EA</x:v>
      </x:c>
      <x:c r="H26" s="10" t="n">
        <x:v>23.4</x:v>
      </x:c>
      <x:c r="I26" s="12" t="n">
        <x:v>46295</x:v>
      </x:c>
      <x:c r="J26" s="2" t="str">
        <x:v>Ready</x:v>
      </x:c>
      <x:c r="K26" s="2" t="str"/>
      <x:c r="L26" s="2" t="str"/>
      <x:c r="M26" s="10" t="n">
        <x:f>IF(J26&lt;&gt;"Ready","",IF(AND(ISNUMBER(F26),ISNUMBER(H26)),ROUND(F26*H26,2),"Missing input"))</x:f>
        <x:v>140.4</x:v>
      </x:c>
    </x:row>
    <x:row r="27" ht="24" customHeight="1">
      <x:c r="A27" s="2" t="str">
        <x:v>R022</x:v>
      </x:c>
      <x:c r="B27" s="2" t="str">
        <x:v>CNT-022</x:v>
      </x:c>
      <x:c r="C27" s="2" t="str">
        <x:v>BELT-B43</x:v>
      </x:c>
      <x:c r="D27" s="2" t="str">
        <x:v>V-belt B43</x:v>
      </x:c>
      <x:c r="E27" s="2" t="str">
        <x:v>B-06</x:v>
      </x:c>
      <x:c r="F27" s="9" t="n">
        <x:v>13</x:v>
      </x:c>
      <x:c r="G27" s="2" t="str">
        <x:v>EA</x:v>
      </x:c>
      <x:c r="H27" s="10" t="n">
        <x:v>24.2</x:v>
      </x:c>
      <x:c r="I27" s="12" t="n">
        <x:v>46295</x:v>
      </x:c>
      <x:c r="J27" s="2" t="str">
        <x:v>Ready</x:v>
      </x:c>
      <x:c r="K27" s="2" t="str"/>
      <x:c r="L27" s="2" t="str"/>
      <x:c r="M27" s="10" t="n">
        <x:f>IF(J27&lt;&gt;"Ready","",IF(AND(ISNUMBER(F27),ISNUMBER(H27)),ROUND(F27*H27,2),"Missing input"))</x:f>
        <x:v>314.6</x:v>
      </x:c>
    </x:row>
    <x:row r="28" ht="24" customHeight="1">
      <x:c r="A28" s="2" t="str">
        <x:v>R023</x:v>
      </x:c>
      <x:c r="B28" s="2" t="str">
        <x:v>CNT-023</x:v>
      </x:c>
      <x:c r="C28" s="2" t="str">
        <x:v>SEAL-040</x:v>
      </x:c>
      <x:c r="D28" s="2" t="str">
        <x:v>Shaft seal 40 mm</x:v>
      </x:c>
      <x:c r="E28" s="2" t="str">
        <x:v>B-07</x:v>
      </x:c>
      <x:c r="F28" s="9" t="n">
        <x:v>20</x:v>
      </x:c>
      <x:c r="G28" s="2" t="str">
        <x:v>EA</x:v>
      </x:c>
      <x:c r="H28" s="10" t="n">
        <x:v>8.6</x:v>
      </x:c>
      <x:c r="I28" s="12" t="n">
        <x:v>46295</x:v>
      </x:c>
      <x:c r="J28" s="2" t="str">
        <x:v>Ready</x:v>
      </x:c>
      <x:c r="K28" s="2" t="str"/>
      <x:c r="L28" s="2" t="str"/>
      <x:c r="M28" s="10" t="n">
        <x:f>IF(J28&lt;&gt;"Ready","",IF(AND(ISNUMBER(F28),ISNUMBER(H28)),ROUND(F28*H28,2),"Missing input"))</x:f>
        <x:v>172</x:v>
      </x:c>
    </x:row>
    <x:row r="29" ht="24" customHeight="1">
      <x:c r="A29" s="2" t="str">
        <x:v>R024</x:v>
      </x:c>
      <x:c r="B29" s="2" t="str">
        <x:v>CNT-024</x:v>
      </x:c>
      <x:c r="C29" s="2" t="str">
        <x:v>SEAL-045</x:v>
      </x:c>
      <x:c r="D29" s="2" t="str">
        <x:v>Shaft seal 45 mm</x:v>
      </x:c>
      <x:c r="E29" s="2" t="str">
        <x:v>B-08</x:v>
      </x:c>
      <x:c r="F29" s="9" t="n">
        <x:v>27</x:v>
      </x:c>
      <x:c r="G29" s="2" t="str">
        <x:v>EA</x:v>
      </x:c>
      <x:c r="H29" s="10" t="n">
        <x:v>9.1</x:v>
      </x:c>
      <x:c r="I29" s="12" t="n">
        <x:v>46295</x:v>
      </x:c>
      <x:c r="J29" s="2" t="str">
        <x:v>Ready</x:v>
      </x:c>
      <x:c r="K29" s="2" t="str"/>
      <x:c r="L29" s="2" t="str"/>
      <x:c r="M29" s="10" t="n">
        <x:f>IF(J29&lt;&gt;"Ready","",IF(AND(ISNUMBER(F29),ISNUMBER(H29)),ROUND(F29*H29,2),"Missing input"))</x:f>
        <x:v>245.7</x:v>
      </x:c>
    </x:row>
    <x:row r="30" ht="24" customHeight="1">
      <x:c r="A30" s="2" t="str">
        <x:v>R025</x:v>
      </x:c>
      <x:c r="B30" s="2" t="str">
        <x:v>CNT-025</x:v>
      </x:c>
      <x:c r="C30" s="2" t="str">
        <x:v>BOLT-M12-40</x:v>
      </x:c>
      <x:c r="D30" s="2" t="str">
        <x:v>Bolt M12 x 40 mm</x:v>
      </x:c>
      <x:c r="E30" s="2" t="str">
        <x:v>B-09</x:v>
      </x:c>
      <x:c r="F30" s="9" t="n">
        <x:v>34</x:v>
      </x:c>
      <x:c r="G30" s="2" t="str">
        <x:v>EA</x:v>
      </x:c>
      <x:c r="H30" s="10" t="n">
        <x:v>0.85</x:v>
      </x:c>
      <x:c r="I30" s="12" t="n">
        <x:v>46295</x:v>
      </x:c>
      <x:c r="J30" s="2" t="str">
        <x:v>Ready</x:v>
      </x:c>
      <x:c r="K30" s="2" t="str"/>
      <x:c r="L30" s="2" t="str"/>
      <x:c r="M30" s="10" t="n">
        <x:f>IF(J30&lt;&gt;"Ready","",IF(AND(ISNUMBER(F30),ISNUMBER(H30)),ROUND(F30*H30,2),"Missing input"))</x:f>
        <x:v>28.9</x:v>
      </x:c>
    </x:row>
    <x:row r="31" ht="24" customHeight="1">
      <x:c r="A31" s="2" t="str">
        <x:v>R026</x:v>
      </x:c>
      <x:c r="B31" s="2" t="str">
        <x:v>CNT-026</x:v>
      </x:c>
      <x:c r="C31" s="2" t="str">
        <x:v>BOLT-M12-50</x:v>
      </x:c>
      <x:c r="D31" s="2" t="str">
        <x:v>Bolt M12 x 50 mm</x:v>
      </x:c>
      <x:c r="E31" s="2" t="str">
        <x:v>B-10</x:v>
      </x:c>
      <x:c r="F31" s="9" t="n">
        <x:v>41</x:v>
      </x:c>
      <x:c r="G31" s="2" t="str">
        <x:v>EA</x:v>
      </x:c>
      <x:c r="H31" s="10" t="n">
        <x:v>0.95</x:v>
      </x:c>
      <x:c r="I31" s="12" t="n">
        <x:v>46295</x:v>
      </x:c>
      <x:c r="J31" s="2" t="str">
        <x:v>Ready</x:v>
      </x:c>
      <x:c r="K31" s="2" t="str"/>
      <x:c r="L31" s="2" t="str"/>
      <x:c r="M31" s="10" t="n">
        <x:f>IF(J31&lt;&gt;"Ready","",IF(AND(ISNUMBER(F31),ISNUMBER(H31)),ROUND(F31*H31,2),"Missing input"))</x:f>
        <x:v>38.95</x:v>
      </x:c>
    </x:row>
    <x:row r="32" ht="24" customHeight="1">
      <x:c r="A32" s="2" t="str">
        <x:v>R027</x:v>
      </x:c>
      <x:c r="B32" s="2" t="str">
        <x:v>CNT-027</x:v>
      </x:c>
      <x:c r="C32" s="2" t="str">
        <x:v>HOSE-038</x:v>
      </x:c>
      <x:c r="D32" s="2" t="str">
        <x:v>Hydraulic hose, 3/8 inch</x:v>
      </x:c>
      <x:c r="E32" s="2" t="str">
        <x:v>B-11</x:v>
      </x:c>
      <x:c r="F32" s="9" t="n">
        <x:v>25.5</x:v>
      </x:c>
      <x:c r="G32" s="2" t="str">
        <x:v>M</x:v>
      </x:c>
      <x:c r="H32" s="10" t="n">
        <x:v>12.5</x:v>
      </x:c>
      <x:c r="I32" s="12" t="n">
        <x:v>46295</x:v>
      </x:c>
      <x:c r="J32" s="2" t="str">
        <x:v>Ready</x:v>
      </x:c>
      <x:c r="K32" s="2" t="str"/>
      <x:c r="L32" s="2" t="str"/>
      <x:c r="M32" s="10" t="n">
        <x:f>IF(J32&lt;&gt;"Ready","",IF(AND(ISNUMBER(F32),ISNUMBER(H32)),ROUND(F32*H32,2),"Missing input"))</x:f>
        <x:v>318.75</x:v>
      </x:c>
    </x:row>
    <x:row r="33" ht="24" customHeight="1">
      <x:c r="A33" s="2" t="str">
        <x:v>R028</x:v>
      </x:c>
      <x:c r="B33" s="2" t="str">
        <x:v>CNT-028</x:v>
      </x:c>
      <x:c r="C33" s="2" t="str">
        <x:v>HOSE-050</x:v>
      </x:c>
      <x:c r="D33" s="2" t="str">
        <x:v>Hydraulic hose, 1/2 inch</x:v>
      </x:c>
      <x:c r="E33" s="2" t="str">
        <x:v>B-12</x:v>
      </x:c>
      <x:c r="F33" s="9" t="n">
        <x:v>31</x:v>
      </x:c>
      <x:c r="G33" s="2" t="str">
        <x:v>M</x:v>
      </x:c>
      <x:c r="H33" s="10" t="n">
        <x:v>15.8</x:v>
      </x:c>
      <x:c r="I33" s="12" t="n">
        <x:v>46295</x:v>
      </x:c>
      <x:c r="J33" s="2" t="str">
        <x:v>Ready</x:v>
      </x:c>
      <x:c r="K33" s="2" t="str"/>
      <x:c r="L33" s="2" t="str"/>
      <x:c r="M33" s="10" t="n">
        <x:f>IF(J33&lt;&gt;"Ready","",IF(AND(ISNUMBER(F33),ISNUMBER(H33)),ROUND(F33*H33,2),"Missing input"))</x:f>
        <x:v>489.8</x:v>
      </x:c>
    </x:row>
    <x:row r="34" ht="24" customHeight="1">
      <x:c r="A34" s="2" t="str">
        <x:v>R029</x:v>
      </x:c>
      <x:c r="B34" s="2" t="str">
        <x:v>CNT-029</x:v>
      </x:c>
      <x:c r="C34" s="2" t="str">
        <x:v>GREASE-EP2</x:v>
      </x:c>
      <x:c r="D34" s="2" t="str">
        <x:v>EP2 grease</x:v>
      </x:c>
      <x:c r="E34" s="2" t="str">
        <x:v>B-13</x:v>
      </x:c>
      <x:c r="F34" s="9" t="n">
        <x:v>36.5</x:v>
      </x:c>
      <x:c r="G34" s="2" t="str">
        <x:v>KG</x:v>
      </x:c>
      <x:c r="H34" s="10" t="n">
        <x:v>7.9</x:v>
      </x:c>
      <x:c r="I34" s="12" t="n">
        <x:v>46295</x:v>
      </x:c>
      <x:c r="J34" s="2" t="str">
        <x:v>Ready</x:v>
      </x:c>
      <x:c r="K34" s="2" t="str"/>
      <x:c r="L34" s="2" t="str"/>
      <x:c r="M34" s="10" t="n">
        <x:f>IF(J34&lt;&gt;"Ready","",IF(AND(ISNUMBER(F34),ISNUMBER(H34)),ROUND(F34*H34,2),"Missing input"))</x:f>
        <x:v>288.35</x:v>
      </x:c>
    </x:row>
    <x:row r="35" ht="24" customHeight="1">
      <x:c r="A35" s="2" t="str">
        <x:v>R030</x:v>
      </x:c>
      <x:c r="B35" s="2" t="str">
        <x:v>CNT-030</x:v>
      </x:c>
      <x:c r="C35" s="2" t="str">
        <x:v>OIL-ISO46</x:v>
      </x:c>
      <x:c r="D35" s="2" t="str">
        <x:v>Hydraulic oil ISO 46</x:v>
      </x:c>
      <x:c r="E35" s="2" t="str">
        <x:v>B-14</x:v>
      </x:c>
      <x:c r="F35" s="9" t="n">
        <x:v>42</x:v>
      </x:c>
      <x:c r="G35" s="2" t="str">
        <x:v>L</x:v>
      </x:c>
      <x:c r="H35" s="10" t="n">
        <x:v>5.6</x:v>
      </x:c>
      <x:c r="I35" s="12" t="n">
        <x:v>46295</x:v>
      </x:c>
      <x:c r="J35" s="2" t="str">
        <x:v>Ready</x:v>
      </x:c>
      <x:c r="K35" s="2" t="str"/>
      <x:c r="L35" s="2" t="str"/>
      <x:c r="M35" s="10" t="n">
        <x:f>IF(J35&lt;&gt;"Ready","",IF(AND(ISNUMBER(F35),ISNUMBER(H35)),ROUND(F35*H35,2),"Missing input"))</x:f>
        <x:v>235.2</x:v>
      </x:c>
    </x:row>
    <x:row r="36" ht="24" customHeight="1">
      <x:c r="A36" s="2" t="str">
        <x:v>R031</x:v>
      </x:c>
      <x:c r="B36" s="2" t="str">
        <x:v>CNT-031</x:v>
      </x:c>
      <x:c r="C36" s="2" t="str">
        <x:v>00127</x:v>
      </x:c>
      <x:c r="D36" s="2" t="str">
        <x:v>Conveyor scraper insert, type A</x:v>
      </x:c>
      <x:c r="E36" s="2" t="str">
        <x:v>B-15</x:v>
      </x:c>
      <x:c r="F36" s="9" t="n">
        <x:v>31</x:v>
      </x:c>
      <x:c r="G36" s="2" t="str">
        <x:v>EA</x:v>
      </x:c>
      <x:c r="H36" s="10" t="n">
        <x:v>31</x:v>
      </x:c>
      <x:c r="I36" s="12" t="n">
        <x:v>46295</x:v>
      </x:c>
      <x:c r="J36" s="2" t="str">
        <x:v>Ready</x:v>
      </x:c>
      <x:c r="K36" s="2" t="str"/>
      <x:c r="L36" s="2" t="str"/>
      <x:c r="M36" s="10" t="n">
        <x:f>IF(J36&lt;&gt;"Ready","",IF(AND(ISNUMBER(F36),ISNUMBER(H36)),ROUND(F36*H36,2),"Missing input"))</x:f>
        <x:v>961</x:v>
      </x:c>
    </x:row>
    <x:row r="37" ht="24" customHeight="1">
      <x:c r="A37" s="2" t="str">
        <x:v>R032</x:v>
      </x:c>
      <x:c r="B37" s="2" t="str">
        <x:v>CNT-032</x:v>
      </x:c>
      <x:c r="C37" s="2" t="str">
        <x:v>127</x:v>
      </x:c>
      <x:c r="D37" s="2" t="str">
        <x:v>Conveyor scraper insert, type B</x:v>
      </x:c>
      <x:c r="E37" s="2" t="str">
        <x:v>B-16</x:v>
      </x:c>
      <x:c r="F37" s="9" t="n">
        <x:v>38</x:v>
      </x:c>
      <x:c r="G37" s="2" t="str">
        <x:v>EA</x:v>
      </x:c>
      <x:c r="H37" s="10" t="n">
        <x:v>34</x:v>
      </x:c>
      <x:c r="I37" s="12" t="n">
        <x:v>46295</x:v>
      </x:c>
      <x:c r="J37" s="2" t="str">
        <x:v>Ready</x:v>
      </x:c>
      <x:c r="K37" s="2" t="str"/>
      <x:c r="L37" s="2" t="str"/>
      <x:c r="M37" s="10" t="n">
        <x:f>IF(J37&lt;&gt;"Ready","",IF(AND(ISNUMBER(F37),ISNUMBER(H37)),ROUND(F37*H37,2),"Missing input"))</x:f>
        <x:v>1292</x:v>
      </x:c>
    </x:row>
    <x:row r="38" ht="24" customHeight="1">
      <x:c r="A38" s="2" t="str">
        <x:v>R033</x:v>
      </x:c>
      <x:c r="B38" s="2" t="str">
        <x:v>CNT-033</x:v>
      </x:c>
      <x:c r="C38" s="2" t="str">
        <x:v>BRG-6205-2RS</x:v>
      </x:c>
      <x:c r="D38" s="2" t="str">
        <x:v>Bearing 6205, rubber seals</x:v>
      </x:c>
      <x:c r="E38" s="2" t="str">
        <x:v>C-01</x:v>
      </x:c>
      <x:c r="F38" s="9" t="n">
        <x:v>45</x:v>
      </x:c>
      <x:c r="G38" s="2" t="str">
        <x:v>EA</x:v>
      </x:c>
      <x:c r="H38" s="10" t="n">
        <x:v>18.5</x:v>
      </x:c>
      <x:c r="I38" s="12" t="n">
        <x:v>46295</x:v>
      </x:c>
      <x:c r="J38" s="2" t="str">
        <x:v>Ready</x:v>
      </x:c>
      <x:c r="K38" s="2" t="str"/>
      <x:c r="L38" s="2" t="str"/>
      <x:c r="M38" s="10" t="n">
        <x:f>IF(J38&lt;&gt;"Ready","",IF(AND(ISNUMBER(F38),ISNUMBER(H38)),ROUND(F38*H38,2),"Missing input"))</x:f>
        <x:v>832.5</x:v>
      </x:c>
    </x:row>
    <x:row r="39" ht="24" customHeight="1">
      <x:c r="A39" s="2" t="str">
        <x:v>R034</x:v>
      </x:c>
      <x:c r="B39" s="2" t="str">
        <x:v>CNT-034</x:v>
      </x:c>
      <x:c r="C39" s="2" t="str">
        <x:v>BRG-6205-ZZ</x:v>
      </x:c>
      <x:c r="D39" s="2" t="str">
        <x:v>Bearing 6205, metal shields</x:v>
      </x:c>
      <x:c r="E39" s="2" t="str">
        <x:v>C-02</x:v>
      </x:c>
      <x:c r="F39" s="9" t="n">
        <x:v>7</x:v>
      </x:c>
      <x:c r="G39" s="2" t="str">
        <x:v>EA</x:v>
      </x:c>
      <x:c r="H39" s="10" t="n">
        <x:v>16.75</x:v>
      </x:c>
      <x:c r="I39" s="12" t="n">
        <x:v>46295</x:v>
      </x:c>
      <x:c r="J39" s="2" t="str">
        <x:v>Ready</x:v>
      </x:c>
      <x:c r="K39" s="2" t="str"/>
      <x:c r="L39" s="2" t="str"/>
      <x:c r="M39" s="10" t="n">
        <x:f>IF(J39&lt;&gt;"Ready","",IF(AND(ISNUMBER(F39),ISNUMBER(H39)),ROUND(F39*H39,2),"Missing input"))</x:f>
        <x:v>117.25</x:v>
      </x:c>
    </x:row>
    <x:row r="40" ht="24" customHeight="1">
      <x:c r="A40" s="2" t="str">
        <x:v>R035</x:v>
      </x:c>
      <x:c r="B40" s="2" t="str">
        <x:v>CNT-035</x:v>
      </x:c>
      <x:c r="C40" s="2" t="str">
        <x:v>FLT-H100</x:v>
      </x:c>
      <x:c r="D40" s="2" t="str">
        <x:v>Hydraulic return filter H100</x:v>
      </x:c>
      <x:c r="E40" s="2" t="str">
        <x:v>C-03</x:v>
      </x:c>
      <x:c r="F40" s="9" t="n">
        <x:v>14</x:v>
      </x:c>
      <x:c r="G40" s="2" t="str">
        <x:v>EA</x:v>
      </x:c>
      <x:c r="H40" s="10" t="n">
        <x:v>42</x:v>
      </x:c>
      <x:c r="I40" s="12" t="n">
        <x:v>46295</x:v>
      </x:c>
      <x:c r="J40" s="2" t="str">
        <x:v>Ready</x:v>
      </x:c>
      <x:c r="K40" s="2" t="str"/>
      <x:c r="L40" s="2" t="str"/>
      <x:c r="M40" s="10" t="n">
        <x:f>IF(J40&lt;&gt;"Ready","",IF(AND(ISNUMBER(F40),ISNUMBER(H40)),ROUND(F40*H40,2),"Missing input"))</x:f>
        <x:v>588</x:v>
      </x:c>
    </x:row>
    <x:row r="41" ht="24" customHeight="1">
      <x:c r="A41" s="2" t="str">
        <x:v>R036</x:v>
      </x:c>
      <x:c r="B41" s="2" t="str">
        <x:v>CNT-036</x:v>
      </x:c>
      <x:c r="C41" s="2" t="str">
        <x:v>FLT-H100A</x:v>
      </x:c>
      <x:c r="D41" s="2" t="str">
        <x:v>Hydraulic return filter H100A</x:v>
      </x:c>
      <x:c r="E41" s="2" t="str">
        <x:v>C-04</x:v>
      </x:c>
      <x:c r="F41" s="9" t="n">
        <x:v>21</x:v>
      </x:c>
      <x:c r="G41" s="2" t="str">
        <x:v>EA</x:v>
      </x:c>
      <x:c r="H41" s="10" t="n">
        <x:v>46.8</x:v>
      </x:c>
      <x:c r="I41" s="12" t="n">
        <x:v>46295</x:v>
      </x:c>
      <x:c r="J41" s="2" t="str">
        <x:v>Ready</x:v>
      </x:c>
      <x:c r="K41" s="2" t="str"/>
      <x:c r="L41" s="2" t="str"/>
      <x:c r="M41" s="10" t="n">
        <x:f>IF(J41&lt;&gt;"Ready","",IF(AND(ISNUMBER(F41),ISNUMBER(H41)),ROUND(F41*H41,2),"Missing input"))</x:f>
        <x:v>982.8</x:v>
      </x:c>
    </x:row>
    <x:row r="42" ht="24" customHeight="1">
      <x:c r="A42" s="2" t="str">
        <x:v>R037</x:v>
      </x:c>
      <x:c r="B42" s="2" t="str">
        <x:v>CNT-037</x:v>
      </x:c>
      <x:c r="C42" s="2" t="str">
        <x:v>BELT-B42</x:v>
      </x:c>
      <x:c r="D42" s="2" t="str">
        <x:v>V-belt B42</x:v>
      </x:c>
      <x:c r="E42" s="2" t="str">
        <x:v>C-05</x:v>
      </x:c>
      <x:c r="F42" s="9" t="n">
        <x:v>28</x:v>
      </x:c>
      <x:c r="G42" s="2" t="str">
        <x:v>EA</x:v>
      </x:c>
      <x:c r="H42" s="10" t="n">
        <x:v>23.4</x:v>
      </x:c>
      <x:c r="I42" s="12" t="n">
        <x:v>46295</x:v>
      </x:c>
      <x:c r="J42" s="2" t="str">
        <x:v>Ready</x:v>
      </x:c>
      <x:c r="K42" s="2" t="str"/>
      <x:c r="L42" s="2" t="str"/>
      <x:c r="M42" s="10" t="n">
        <x:f>IF(J42&lt;&gt;"Ready","",IF(AND(ISNUMBER(F42),ISNUMBER(H42)),ROUND(F42*H42,2),"Missing input"))</x:f>
        <x:v>655.2</x:v>
      </x:c>
    </x:row>
    <x:row r="43" ht="24" customHeight="1">
      <x:c r="A43" s="2" t="str">
        <x:v>R038</x:v>
      </x:c>
      <x:c r="B43" s="2" t="str">
        <x:v>CNT-038</x:v>
      </x:c>
      <x:c r="C43" s="2" t="str">
        <x:v>BELT-B43</x:v>
      </x:c>
      <x:c r="D43" s="2" t="str">
        <x:v>V-belt B43</x:v>
      </x:c>
      <x:c r="E43" s="2" t="str">
        <x:v>C-06</x:v>
      </x:c>
      <x:c r="F43" s="9" t="n">
        <x:v>35</x:v>
      </x:c>
      <x:c r="G43" s="2" t="str">
        <x:v>EA</x:v>
      </x:c>
      <x:c r="H43" s="10" t="n">
        <x:v>24.2</x:v>
      </x:c>
      <x:c r="I43" s="12" t="n">
        <x:v>46295</x:v>
      </x:c>
      <x:c r="J43" s="2" t="str">
        <x:v>Ready</x:v>
      </x:c>
      <x:c r="K43" s="2" t="str"/>
      <x:c r="L43" s="2" t="str"/>
      <x:c r="M43" s="10" t="n">
        <x:f>IF(J43&lt;&gt;"Ready","",IF(AND(ISNUMBER(F43),ISNUMBER(H43)),ROUND(F43*H43,2),"Missing input"))</x:f>
        <x:v>847</x:v>
      </x:c>
    </x:row>
    <x:row r="44" ht="24" customHeight="1">
      <x:c r="A44" s="2" t="str">
        <x:v>R039</x:v>
      </x:c>
      <x:c r="B44" s="2" t="str">
        <x:v>CNT-039</x:v>
      </x:c>
      <x:c r="C44" s="2" t="str">
        <x:v>SEAL-040</x:v>
      </x:c>
      <x:c r="D44" s="2" t="str">
        <x:v>Shaft seal 40 mm</x:v>
      </x:c>
      <x:c r="E44" s="2" t="str">
        <x:v>C-07</x:v>
      </x:c>
      <x:c r="F44" s="9" t="n">
        <x:v>42</x:v>
      </x:c>
      <x:c r="G44" s="2" t="str">
        <x:v>EA</x:v>
      </x:c>
      <x:c r="H44" s="10" t="n">
        <x:v>8.6</x:v>
      </x:c>
      <x:c r="I44" s="12" t="n">
        <x:v>46295</x:v>
      </x:c>
      <x:c r="J44" s="2" t="str">
        <x:v>Ready</x:v>
      </x:c>
      <x:c r="K44" s="2" t="str"/>
      <x:c r="L44" s="2" t="str"/>
      <x:c r="M44" s="10" t="n">
        <x:f>IF(J44&lt;&gt;"Ready","",IF(AND(ISNUMBER(F44),ISNUMBER(H44)),ROUND(F44*H44,2),"Missing input"))</x:f>
        <x:v>361.2</x:v>
      </x:c>
    </x:row>
    <x:row r="45" ht="24" customHeight="1">
      <x:c r="A45" s="2" t="str">
        <x:v>R040</x:v>
      </x:c>
      <x:c r="B45" s="2" t="str">
        <x:v>CNT-040</x:v>
      </x:c>
      <x:c r="C45" s="2" t="str">
        <x:v>SEAL-045</x:v>
      </x:c>
      <x:c r="D45" s="2" t="str">
        <x:v>Shaft seal 45 mm</x:v>
      </x:c>
      <x:c r="E45" s="2" t="str">
        <x:v>C-08</x:v>
      </x:c>
      <x:c r="F45" s="9" t="n">
        <x:v>4</x:v>
      </x:c>
      <x:c r="G45" s="2" t="str">
        <x:v>EA</x:v>
      </x:c>
      <x:c r="H45" s="10" t="n">
        <x:v>9.1</x:v>
      </x:c>
      <x:c r="I45" s="12" t="n">
        <x:v>46295</x:v>
      </x:c>
      <x:c r="J45" s="2" t="str">
        <x:v>Ready</x:v>
      </x:c>
      <x:c r="K45" s="2" t="str"/>
      <x:c r="L45" s="2" t="str"/>
      <x:c r="M45" s="10" t="n">
        <x:f>IF(J45&lt;&gt;"Ready","",IF(AND(ISNUMBER(F45),ISNUMBER(H45)),ROUND(F45*H45,2),"Missing input"))</x:f>
        <x:v>36.4</x:v>
      </x:c>
    </x:row>
    <x:row r="46" ht="24" customHeight="1">
      <x:c r="A46" s="2" t="str">
        <x:v>R041</x:v>
      </x:c>
      <x:c r="B46" s="2" t="str">
        <x:v>CNT-041</x:v>
      </x:c>
      <x:c r="C46" s="2" t="str">
        <x:v>BOLT-M12-40</x:v>
      </x:c>
      <x:c r="D46" s="2" t="str">
        <x:v>Bolt M12 x 40 mm</x:v>
      </x:c>
      <x:c r="E46" s="2" t="str">
        <x:v>C-09</x:v>
      </x:c>
      <x:c r="F46" s="9" t="n">
        <x:v>11</x:v>
      </x:c>
      <x:c r="G46" s="2" t="str">
        <x:v>EA</x:v>
      </x:c>
      <x:c r="H46" s="10" t="n">
        <x:v>0.85</x:v>
      </x:c>
      <x:c r="I46" s="12" t="n">
        <x:v>46295</x:v>
      </x:c>
      <x:c r="J46" s="2" t="str">
        <x:v>Ready</x:v>
      </x:c>
      <x:c r="K46" s="2" t="str"/>
      <x:c r="L46" s="2" t="str"/>
      <x:c r="M46" s="10" t="n">
        <x:f>IF(J46&lt;&gt;"Ready","",IF(AND(ISNUMBER(F46),ISNUMBER(H46)),ROUND(F46*H46,2),"Missing input"))</x:f>
        <x:v>9.35</x:v>
      </x:c>
    </x:row>
    <x:row r="47" ht="24" customHeight="1">
      <x:c r="A47" s="2" t="str">
        <x:v>R042</x:v>
      </x:c>
      <x:c r="B47" s="2" t="str">
        <x:v>CNT-042</x:v>
      </x:c>
      <x:c r="C47" s="2" t="str">
        <x:v>BOLT-M12-50</x:v>
      </x:c>
      <x:c r="D47" s="2" t="str">
        <x:v>Bolt M12 x 50 mm</x:v>
      </x:c>
      <x:c r="E47" s="2" t="str">
        <x:v>C-10</x:v>
      </x:c>
      <x:c r="F47" s="9" t="n">
        <x:v>18</x:v>
      </x:c>
      <x:c r="G47" s="2" t="str">
        <x:v>EA</x:v>
      </x:c>
      <x:c r="H47" s="10" t="n">
        <x:v>0.95</x:v>
      </x:c>
      <x:c r="I47" s="12" t="n">
        <x:v>46295</x:v>
      </x:c>
      <x:c r="J47" s="2" t="str">
        <x:v>Ready</x:v>
      </x:c>
      <x:c r="K47" s="2" t="str"/>
      <x:c r="L47" s="2" t="str"/>
      <x:c r="M47" s="10" t="n">
        <x:f>IF(J47&lt;&gt;"Ready","",IF(AND(ISNUMBER(F47),ISNUMBER(H47)),ROUND(F47*H47,2),"Missing input"))</x:f>
        <x:v>17.1</x:v>
      </x:c>
    </x:row>
    <x:row r="48" ht="24" customHeight="1">
      <x:c r="A48" s="2" t="str">
        <x:v>R043</x:v>
      </x:c>
      <x:c r="B48" s="2" t="str">
        <x:v>CNT-043</x:v>
      </x:c>
      <x:c r="C48" s="2" t="str">
        <x:v>HOSE-038</x:v>
      </x:c>
      <x:c r="D48" s="2" t="str">
        <x:v>Hydraulic hose, 3/8 inch</x:v>
      </x:c>
      <x:c r="E48" s="2" t="str">
        <x:v>C-11</x:v>
      </x:c>
      <x:c r="F48" s="9" t="n">
        <x:v>33.5</x:v>
      </x:c>
      <x:c r="G48" s="2" t="str">
        <x:v>M</x:v>
      </x:c>
      <x:c r="H48" s="10" t="n">
        <x:v>12.5</x:v>
      </x:c>
      <x:c r="I48" s="12" t="n">
        <x:v>46295</x:v>
      </x:c>
      <x:c r="J48" s="2" t="str">
        <x:v>Ready</x:v>
      </x:c>
      <x:c r="K48" s="2" t="str"/>
      <x:c r="L48" s="2" t="str"/>
      <x:c r="M48" s="10" t="n">
        <x:f>IF(J48&lt;&gt;"Ready","",IF(AND(ISNUMBER(F48),ISNUMBER(H48)),ROUND(F48*H48,2),"Missing input"))</x:f>
        <x:v>418.75</x:v>
      </x:c>
    </x:row>
    <x:row r="49" ht="24" customHeight="1">
      <x:c r="A49" s="2" t="str">
        <x:v>R044</x:v>
      </x:c>
      <x:c r="B49" s="2" t="str">
        <x:v>CNT-044</x:v>
      </x:c>
      <x:c r="C49" s="2" t="str">
        <x:v>HOSE-050</x:v>
      </x:c>
      <x:c r="D49" s="2" t="str">
        <x:v>Hydraulic hose, 1/2 inch</x:v>
      </x:c>
      <x:c r="E49" s="2" t="str">
        <x:v>C-12</x:v>
      </x:c>
      <x:c r="F49" s="9" t="n">
        <x:v>39</x:v>
      </x:c>
      <x:c r="G49" s="2" t="str">
        <x:v>M</x:v>
      </x:c>
      <x:c r="H49" s="10" t="n">
        <x:v>15.8</x:v>
      </x:c>
      <x:c r="I49" s="12" t="n">
        <x:v>46295</x:v>
      </x:c>
      <x:c r="J49" s="2" t="str">
        <x:v>Ready</x:v>
      </x:c>
      <x:c r="K49" s="2" t="str"/>
      <x:c r="L49" s="2" t="str"/>
      <x:c r="M49" s="10" t="n">
        <x:f>IF(J49&lt;&gt;"Ready","",IF(AND(ISNUMBER(F49),ISNUMBER(H49)),ROUND(F49*H49,2),"Missing input"))</x:f>
        <x:v>616.2</x:v>
      </x:c>
    </x:row>
    <x:row r="50" ht="24" customHeight="1">
      <x:c r="A50" s="2" t="str">
        <x:v>R045</x:v>
      </x:c>
      <x:c r="B50" s="2" t="str">
        <x:v>CNT-045</x:v>
      </x:c>
      <x:c r="C50" s="2" t="str">
        <x:v>GREASE-EP2</x:v>
      </x:c>
      <x:c r="D50" s="2" t="str">
        <x:v>EP2 grease</x:v>
      </x:c>
      <x:c r="E50" s="2" t="str">
        <x:v>C-13</x:v>
      </x:c>
      <x:c r="F50" s="9" t="n">
        <x:v>4.5</x:v>
      </x:c>
      <x:c r="G50" s="2" t="str">
        <x:v>KG</x:v>
      </x:c>
      <x:c r="H50" s="10" t="n">
        <x:v>7.9</x:v>
      </x:c>
      <x:c r="I50" s="12" t="n">
        <x:v>46295</x:v>
      </x:c>
      <x:c r="J50" s="2" t="str">
        <x:v>Ready</x:v>
      </x:c>
      <x:c r="K50" s="2" t="str"/>
      <x:c r="L50" s="2" t="str"/>
      <x:c r="M50" s="10" t="n">
        <x:f>IF(J50&lt;&gt;"Ready","",IF(AND(ISNUMBER(F50),ISNUMBER(H50)),ROUND(F50*H50,2),"Missing input"))</x:f>
        <x:v>35.55</x:v>
      </x:c>
    </x:row>
    <x:row r="51" ht="24" customHeight="1">
      <x:c r="A51" s="2" t="str">
        <x:v>R046</x:v>
      </x:c>
      <x:c r="B51" s="2" t="str">
        <x:v>CNT-046</x:v>
      </x:c>
      <x:c r="C51" s="2" t="str">
        <x:v>OIL-ISO46</x:v>
      </x:c>
      <x:c r="D51" s="2" t="str">
        <x:v>Hydraulic oil ISO 46</x:v>
      </x:c>
      <x:c r="E51" s="2" t="str">
        <x:v>C-14</x:v>
      </x:c>
      <x:c r="F51" s="9" t="n">
        <x:v>10</x:v>
      </x:c>
      <x:c r="G51" s="2" t="str">
        <x:v>L</x:v>
      </x:c>
      <x:c r="H51" s="10" t="n">
        <x:v>5.6</x:v>
      </x:c>
      <x:c r="I51" s="12" t="n">
        <x:v>46295</x:v>
      </x:c>
      <x:c r="J51" s="2" t="str">
        <x:v>Ready</x:v>
      </x:c>
      <x:c r="K51" s="2" t="str"/>
      <x:c r="L51" s="2" t="str"/>
      <x:c r="M51" s="10" t="n">
        <x:f>IF(J51&lt;&gt;"Ready","",IF(AND(ISNUMBER(F51),ISNUMBER(H51)),ROUND(F51*H51,2),"Missing input"))</x:f>
        <x:v>56</x:v>
      </x:c>
    </x:row>
    <x:row r="52" ht="24" customHeight="1">
      <x:c r="A52" s="2" t="str">
        <x:v>R047</x:v>
      </x:c>
      <x:c r="B52" s="2" t="str">
        <x:v>CNT-047</x:v>
      </x:c>
      <x:c r="C52" s="2" t="str">
        <x:v>00127</x:v>
      </x:c>
      <x:c r="D52" s="2" t="str">
        <x:v>Conveyor scraper insert, type A</x:v>
      </x:c>
      <x:c r="E52" s="2" t="str">
        <x:v>C-15</x:v>
      </x:c>
      <x:c r="F52" s="9" t="n">
        <x:v>8</x:v>
      </x:c>
      <x:c r="G52" s="2" t="str">
        <x:v>EA</x:v>
      </x:c>
      <x:c r="H52" s="10" t="n">
        <x:v>31</x:v>
      </x:c>
      <x:c r="I52" s="12" t="n">
        <x:v>46295</x:v>
      </x:c>
      <x:c r="J52" s="2" t="str">
        <x:v>Ready</x:v>
      </x:c>
      <x:c r="K52" s="2" t="str"/>
      <x:c r="L52" s="2" t="str"/>
      <x:c r="M52" s="10" t="n">
        <x:f>IF(J52&lt;&gt;"Ready","",IF(AND(ISNUMBER(F52),ISNUMBER(H52)),ROUND(F52*H52,2),"Missing input"))</x:f>
        <x:v>248</x:v>
      </x:c>
    </x:row>
    <x:row r="53" ht="24" customHeight="1">
      <x:c r="A53" s="2" t="str">
        <x:v>R048</x:v>
      </x:c>
      <x:c r="B53" s="2" t="str">
        <x:v>CNT-048</x:v>
      </x:c>
      <x:c r="C53" s="2" t="str">
        <x:v>127</x:v>
      </x:c>
      <x:c r="D53" s="2" t="str">
        <x:v>Conveyor scraper insert, type B</x:v>
      </x:c>
      <x:c r="E53" s="2" t="str">
        <x:v>C-16</x:v>
      </x:c>
      <x:c r="F53" s="9" t="n">
        <x:v>15</x:v>
      </x:c>
      <x:c r="G53" s="2" t="str">
        <x:v>EA</x:v>
      </x:c>
      <x:c r="H53" s="10" t="n">
        <x:v>34</x:v>
      </x:c>
      <x:c r="I53" s="12" t="n">
        <x:v>46295</x:v>
      </x:c>
      <x:c r="J53" s="2" t="str">
        <x:v>Ready</x:v>
      </x:c>
      <x:c r="K53" s="2" t="str"/>
      <x:c r="L53" s="2" t="str"/>
      <x:c r="M53" s="10" t="n">
        <x:f>IF(J53&lt;&gt;"Ready","",IF(AND(ISNUMBER(F53),ISNUMBER(H53)),ROUND(F53*H53,2),"Missing input"))</x:f>
        <x:v>510</x:v>
      </x:c>
    </x:row>
    <x:row r="54" ht="24" customHeight="1">
      <x:c r="A54" s="2" t="str">
        <x:v>R049</x:v>
      </x:c>
      <x:c r="B54" s="2" t="str">
        <x:v>CNT-049</x:v>
      </x:c>
      <x:c r="C54" s="2" t="str">
        <x:v>FLT-H100</x:v>
      </x:c>
      <x:c r="D54" s="2" t="str">
        <x:v>Hydraulic return filter H100</x:v>
      </x:c>
      <x:c r="E54" s="2" t="str">
        <x:v>D-01</x:v>
      </x:c>
      <x:c r="F54" s="9"/>
      <x:c r="G54" s="2" t="str">
        <x:v>EA</x:v>
      </x:c>
      <x:c r="H54" s="10" t="n">
        <x:v>42</x:v>
      </x:c>
      <x:c r="I54" s="12" t="n">
        <x:v>46295</x:v>
      </x:c>
      <x:c r="J54" s="2" t="str">
        <x:v>Held</x:v>
      </x:c>
      <x:c r="K54" s="2" t="str">
        <x:v>Uncertain quantity</x:v>
      </x:c>
      <x:c r="L54" s="2" t="str"/>
      <x:c r="M54" s="10" t="str">
        <x:f>IF(J54&lt;&gt;"Ready","",IF(AND(ISNUMBER(F54),ISNUMBER(H54)),ROUND(F54*H54,2),"Missing input"))</x:f>
      </x:c>
    </x:row>
    <x:row r="55" ht="24" customHeight="1">
      <x:c r="A55" s="2" t="str">
        <x:v>R050</x:v>
      </x:c>
      <x:c r="B55" s="2" t="str">
        <x:v>CNT-050</x:v>
      </x:c>
      <x:c r="C55" s="2" t="str">
        <x:v>BOLT-M12-40</x:v>
      </x:c>
      <x:c r="D55" s="2" t="str">
        <x:v>Bolt M12 x 40 mm</x:v>
      </x:c>
      <x:c r="E55" s="2" t="str">
        <x:v>D-02</x:v>
      </x:c>
      <x:c r="F55" s="9" t="n">
        <x:v>2</x:v>
      </x:c>
      <x:c r="G55" s="2"/>
      <x:c r="H55" s="10" t="n">
        <x:v>0.85</x:v>
      </x:c>
      <x:c r="I55" s="12" t="n">
        <x:v>46295</x:v>
      </x:c>
      <x:c r="J55" s="2" t="str">
        <x:v>Held</x:v>
      </x:c>
      <x:c r="K55" s="2" t="str">
        <x:v>Unknown pack size</x:v>
      </x:c>
      <x:c r="L55" s="2" t="str"/>
      <x:c r="M55" s="10" t="str">
        <x:f>IF(J55&lt;&gt;"Ready","",IF(AND(ISNUMBER(F55),ISNUMBER(H55)),ROUND(F55*H55,2),"Missing input"))</x:f>
      </x:c>
    </x:row>
    <x:row r="56" ht="24" customHeight="1">
      <x:c r="A56" s="2" t="str">
        <x:v>R051</x:v>
      </x:c>
      <x:c r="B56" s="2" t="str">
        <x:v>CNT-051</x:v>
      </x:c>
      <x:c r="C56" s="2" t="str">
        <x:v>SEAL-040</x:v>
      </x:c>
      <x:c r="D56" s="2" t="str">
        <x:v>Shaft seal 40 mm</x:v>
      </x:c>
      <x:c r="E56" s="2" t="str">
        <x:v>D-03</x:v>
      </x:c>
      <x:c r="F56" s="9" t="n">
        <x:v>7</x:v>
      </x:c>
      <x:c r="G56" s="2" t="str">
        <x:v>EA</x:v>
      </x:c>
      <x:c r="H56" s="10" t="n">
        <x:v>8.6</x:v>
      </x:c>
      <x:c r="I56" s="12"/>
      <x:c r="J56" s="2" t="str">
        <x:v>Held</x:v>
      </x:c>
      <x:c r="K56" s="2" t="str">
        <x:v>Ambiguous date order</x:v>
      </x:c>
      <x:c r="L56" s="2" t="str"/>
      <x:c r="M56" s="10" t="str">
        <x:f>IF(J56&lt;&gt;"Ready","",IF(AND(ISNUMBER(F56),ISNUMBER(H56)),ROUND(F56*H56,2),"Missing input"))</x:f>
      </x:c>
    </x:row>
    <x:row r="57" ht="24" customHeight="1">
      <x:c r="A57" s="2" t="str">
        <x:v>R052</x:v>
      </x:c>
      <x:c r="B57" s="2" t="str">
        <x:v>CNT-052</x:v>
      </x:c>
      <x:c r="C57" s="2" t="str">
        <x:v>OIL-ISO46</x:v>
      </x:c>
      <x:c r="D57" s="2" t="str">
        <x:v>Hydraulic oil ISO 46</x:v>
      </x:c>
      <x:c r="E57" s="2" t="str">
        <x:v>D-04</x:v>
      </x:c>
      <x:c r="F57" s="9"/>
      <x:c r="G57" s="2" t="str">
        <x:v>L</x:v>
      </x:c>
      <x:c r="H57" s="10" t="n">
        <x:v>5.6</x:v>
      </x:c>
      <x:c r="I57" s="12" t="n">
        <x:v>46295</x:v>
      </x:c>
      <x:c r="J57" s="2" t="str">
        <x:v>Held</x:v>
      </x:c>
      <x:c r="K57" s="2" t="str">
        <x:v>Negative physical count</x:v>
      </x:c>
      <x:c r="L57" s="2" t="str"/>
      <x:c r="M57" s="10" t="str">
        <x:f>IF(J57&lt;&gt;"Ready","",IF(AND(ISNUMBER(F57),ISNUMBER(H57)),ROUND(F57*H57,2),"Missing input"))</x:f>
      </x:c>
    </x:row>
    <x:row r="58" ht="24" customHeight="1">
      <x:c r="A58" s="2" t="str">
        <x:v>R053</x:v>
      </x:c>
      <x:c r="B58" s="2" t="str">
        <x:v>CNT-053</x:v>
      </x:c>
      <x:c r="C58" s="2" t="str">
        <x:v>00127</x:v>
      </x:c>
      <x:c r="D58" s="2" t="str">
        <x:v>Conveyor scraper insert, type A</x:v>
      </x:c>
      <x:c r="E58" s="2" t="str">
        <x:v>D-05</x:v>
      </x:c>
      <x:c r="F58" s="9" t="n">
        <x:v>4</x:v>
      </x:c>
      <x:c r="G58" s="2" t="str">
        <x:v>EA</x:v>
      </x:c>
      <x:c r="H58" s="10"/>
      <x:c r="I58" s="12" t="n">
        <x:v>46295</x:v>
      </x:c>
      <x:c r="J58" s="2" t="str">
        <x:v>Held</x:v>
      </x:c>
      <x:c r="K58" s="2" t="str">
        <x:v>Missing valuation input</x:v>
      </x:c>
      <x:c r="L58" s="2" t="str"/>
      <x:c r="M58" s="10" t="str">
        <x:f>IF(J58&lt;&gt;"Ready","",IF(AND(ISNUMBER(F58),ISNUMBER(H58)),ROUND(F58*H58,2),"Missing input"))</x:f>
      </x:c>
    </x:row>
    <x:row r="59" ht="24" customHeight="1">
      <x:c r="A59" s="2" t="str">
        <x:v>R054</x:v>
      </x:c>
      <x:c r="B59" s="2" t="str">
        <x:v>CNT-054</x:v>
      </x:c>
      <x:c r="C59" s="2"/>
      <x:c r="D59" s="2" t="str">
        <x:v>Bearing 6205</x:v>
      </x:c>
      <x:c r="E59" s="2" t="str">
        <x:v>D-06</x:v>
      </x:c>
      <x:c r="F59" s="9" t="n">
        <x:v>6</x:v>
      </x:c>
      <x:c r="G59" s="2" t="str">
        <x:v>EA</x:v>
      </x:c>
      <x:c r="H59" s="10" t="n">
        <x:v>18.5</x:v>
      </x:c>
      <x:c r="I59" s="12" t="n">
        <x:v>46295</x:v>
      </x:c>
      <x:c r="J59" s="2" t="str">
        <x:v>Held</x:v>
      </x:c>
      <x:c r="K59" s="2" t="str">
        <x:v>Missing part identity</x:v>
      </x:c>
      <x:c r="L59" s="2" t="str"/>
      <x:c r="M59" s="10" t="str">
        <x:f>IF(J59&lt;&gt;"Ready","",IF(AND(ISNUMBER(F59),ISNUMBER(H59)),ROUND(F59*H59,2),"Missing input"))</x:f>
      </x:c>
    </x:row>
    <x:row r="60" ht="24" customHeight="1">
      <x:c r="A60" s="2" t="str">
        <x:v>R055</x:v>
      </x:c>
      <x:c r="B60" s="2" t="str">
        <x:v>CNT-055</x:v>
      </x:c>
      <x:c r="C60" s="2" t="str">
        <x:v>BRG-6205-ZZ</x:v>
      </x:c>
      <x:c r="D60" s="2"/>
      <x:c r="E60" s="2" t="str">
        <x:v>D-07</x:v>
      </x:c>
      <x:c r="F60" s="9" t="n">
        <x:v>5</x:v>
      </x:c>
      <x:c r="G60" s="2" t="str">
        <x:v>EA</x:v>
      </x:c>
      <x:c r="H60" s="10" t="n">
        <x:v>16.75</x:v>
      </x:c>
      <x:c r="I60" s="12" t="n">
        <x:v>46295</x:v>
      </x:c>
      <x:c r="J60" s="2" t="str">
        <x:v>Held</x:v>
      </x:c>
      <x:c r="K60" s="2" t="str">
        <x:v>SKU and description conflict</x:v>
      </x:c>
      <x:c r="L60" s="2" t="str"/>
      <x:c r="M60" s="10" t="str">
        <x:f>IF(J60&lt;&gt;"Ready","",IF(AND(ISNUMBER(F60),ISNUMBER(H60)),ROUND(F60*H60,2),"Missing input"))</x:f>
      </x:c>
    </x:row>
    <x:row r="61" ht="24" customHeight="1">
      <x:c r="A61" s="2" t="str">
        <x:v>R056</x:v>
      </x:c>
      <x:c r="B61" s="2" t="str">
        <x:v>CNT-056</x:v>
      </x:c>
      <x:c r="C61" s="2" t="str">
        <x:v>HOSE-050</x:v>
      </x:c>
      <x:c r="D61" s="2" t="str">
        <x:v>Hydraulic hose, 1/2 inch</x:v>
      </x:c>
      <x:c r="E61" s="2" t="str">
        <x:v>D-08</x:v>
      </x:c>
      <x:c r="F61" s="9" t="n">
        <x:v>20</x:v>
      </x:c>
      <x:c r="G61" s="2" t="str">
        <x:v>M</x:v>
      </x:c>
      <x:c r="H61" s="10" t="n">
        <x:v>15.8</x:v>
      </x:c>
      <x:c r="I61" s="12"/>
      <x:c r="J61" s="2" t="str">
        <x:v>Held</x:v>
      </x:c>
      <x:c r="K61" s="2" t="str">
        <x:v>Impossible calendar date</x:v>
      </x:c>
      <x:c r="L61" s="2" t="str"/>
      <x:c r="M61" s="10" t="str">
        <x:f>IF(J61&lt;&gt;"Ready","",IF(AND(ISNUMBER(F61),ISNUMBER(H61)),ROUND(F61*H61,2),"Missing input"))</x:f>
      </x:c>
    </x:row>
    <x:row r="62" ht="24" customHeight="1">
      <x:c r="A62" s="2" t="str">
        <x:v>R057</x:v>
      </x:c>
      <x:c r="B62" s="2" t="str">
        <x:v>CNT-057</x:v>
      </x:c>
      <x:c r="C62" s="2" t="str">
        <x:v>BELT-B42</x:v>
      </x:c>
      <x:c r="D62" s="2" t="str">
        <x:v>V-belt B42</x:v>
      </x:c>
      <x:c r="E62" s="2" t="str">
        <x:v>D-09</x:v>
      </x:c>
      <x:c r="F62" s="9" t="n">
        <x:v>7</x:v>
      </x:c>
      <x:c r="G62" s="2" t="str">
        <x:v>EA</x:v>
      </x:c>
      <x:c r="H62" s="10" t="n">
        <x:v>23.4</x:v>
      </x:c>
      <x:c r="I62" s="12" t="n">
        <x:v>46295</x:v>
      </x:c>
      <x:c r="J62" s="2" t="str">
        <x:v>Held</x:v>
      </x:c>
      <x:c r="K62" s="2" t="str">
        <x:v>Conflicting same-bin counts</x:v>
      </x:c>
      <x:c r="L62" s="2" t="str">
        <x:v>R058</x:v>
      </x:c>
      <x:c r="M62" s="10" t="str">
        <x:f>IF(J62&lt;&gt;"Ready","",IF(AND(ISNUMBER(F62),ISNUMBER(H62)),ROUND(F62*H62,2),"Missing input"))</x:f>
      </x:c>
    </x:row>
    <x:row r="63" ht="24" customHeight="1">
      <x:c r="A63" s="2" t="str">
        <x:v>R058</x:v>
      </x:c>
      <x:c r="B63" s="2" t="str">
        <x:v>CNT-058</x:v>
      </x:c>
      <x:c r="C63" s="2" t="str">
        <x:v>BELT-B42</x:v>
      </x:c>
      <x:c r="D63" s="2" t="str">
        <x:v>V-belt B42</x:v>
      </x:c>
      <x:c r="E63" s="2" t="str">
        <x:v>D-09</x:v>
      </x:c>
      <x:c r="F63" s="9" t="n">
        <x:v>11</x:v>
      </x:c>
      <x:c r="G63" s="2" t="str">
        <x:v>EA</x:v>
      </x:c>
      <x:c r="H63" s="10" t="n">
        <x:v>23.4</x:v>
      </x:c>
      <x:c r="I63" s="12" t="n">
        <x:v>46295</x:v>
      </x:c>
      <x:c r="J63" s="2" t="str">
        <x:v>Held</x:v>
      </x:c>
      <x:c r="K63" s="2" t="str">
        <x:v>Conflicting same-bin counts</x:v>
      </x:c>
      <x:c r="L63" s="2" t="str">
        <x:v>R057</x:v>
      </x:c>
      <x:c r="M63" s="10" t="str">
        <x:f>IF(J63&lt;&gt;"Ready","",IF(AND(ISNUMBER(F63),ISNUMBER(H63)),ROUND(F63*H63,2),"Missing input"))</x:f>
      </x:c>
    </x:row>
    <x:row r="64" ht="24" customHeight="1">
      <x:c r="A64" s="2" t="str">
        <x:v>R059</x:v>
      </x:c>
      <x:c r="B64" s="2" t="str">
        <x:v>CNT-005</x:v>
      </x:c>
      <x:c r="C64" s="2" t="str">
        <x:v>BELT-B42</x:v>
      </x:c>
      <x:c r="D64" s="2" t="str">
        <x:v>V-belt B42</x:v>
      </x:c>
      <x:c r="E64" s="2" t="str">
        <x:v>A-05</x:v>
      </x:c>
      <x:c r="F64" s="9" t="n">
        <x:v>29</x:v>
      </x:c>
      <x:c r="G64" s="2" t="str">
        <x:v>EA</x:v>
      </x:c>
      <x:c r="H64" s="10" t="n">
        <x:v>23.4</x:v>
      </x:c>
      <x:c r="I64" s="12" t="n">
        <x:v>46295</x:v>
      </x:c>
      <x:c r="J64" s="2" t="str">
        <x:v>Duplicate</x:v>
      </x:c>
      <x:c r="K64" s="2" t="str">
        <x:v>Repeated source count</x:v>
      </x:c>
      <x:c r="L64" s="2" t="str">
        <x:v>R005</x:v>
      </x:c>
      <x:c r="M64" s="10" t="str">
        <x:f>IF(J64&lt;&gt;"Ready","",IF(AND(ISNUMBER(F64),ISNUMBER(H64)),ROUND(F64*H64,2),"Missing input"))</x:f>
      </x:c>
    </x:row>
    <x:row r="65" ht="24" customHeight="1">
      <x:c r="A65" s="2" t="str">
        <x:v>R060</x:v>
      </x:c>
      <x:c r="B65" s="2" t="str">
        <x:v>CNT-020</x:v>
      </x:c>
      <x:c r="C65" s="2" t="str">
        <x:v>FLT-H100A</x:v>
      </x:c>
      <x:c r="D65" s="2" t="str">
        <x:v>Hydraulic return filter H100A</x:v>
      </x:c>
      <x:c r="E65" s="2" t="str">
        <x:v>B-04</x:v>
      </x:c>
      <x:c r="F65" s="9" t="n">
        <x:v>44</x:v>
      </x:c>
      <x:c r="G65" s="2" t="str">
        <x:v>EA</x:v>
      </x:c>
      <x:c r="H65" s="10" t="n">
        <x:v>46.8</x:v>
      </x:c>
      <x:c r="I65" s="12" t="n">
        <x:v>46295</x:v>
      </x:c>
      <x:c r="J65" s="2" t="str">
        <x:v>Duplicate</x:v>
      </x:c>
      <x:c r="K65" s="2" t="str">
        <x:v>Repeated source count</x:v>
      </x:c>
      <x:c r="L65" s="2" t="str">
        <x:v>R020</x:v>
      </x:c>
      <x:c r="M65" s="10" t="str">
        <x:f>IF(J65&lt;&gt;"Ready","",IF(AND(ISNUMBER(F65),ISNUMBER(H65)),ROUND(F65*H65,2),"Missing input"))</x:f>
      </x:c>
    </x:row>
  </x:sheetData>
  <x:conditionalFormatting sqref="J6:J65">
    <x:cfRule type="containsText" dxfId="0" priority="1" operator="containsText" text="Held"/>
  </x:conditionalFormatting>
  <x:pageMargins left="0.7" right="0.7" top="0.75" bottom="0.75" header="0.3" footer="0.3"/>
  <x:tableParts count="1">
    <x:tablePart xmlns:r="http://schemas.openxmlformats.org/officeDocument/2006/relationships" r:id="Rbc89da8ac0724d9a"/>
  </x:tableParts>
</x:worksheet>
</file>

<file path=xl/worksheets/sheet3.xml><?xml version="1.0" encoding="utf-8"?>
<x:worksheet xmlns:x="http://schemas.openxmlformats.org/spreadsheetml/2006/main">
  <x:sheetPr>
    <x:tabColor rgb="FFD79C38"/>
  </x:sheetPr>
  <x:sheetViews>
    <x:sheetView showGridLines="0" workbookViewId="0">
      <x:pane xSplit="2" ySplit="5" topLeftCell="C6" activePane="bottomRight" state="frozen"/>
    </x:sheetView>
  </x:sheetViews>
  <x:sheetFormatPr defaultRowHeight="15"/>
  <x:cols>
    <x:col min="1" max="1" width="16" hidden="0" customWidth="1"/>
    <x:col min="2" max="2" width="14" hidden="0" customWidth="1"/>
    <x:col min="3" max="3" width="20" hidden="0" customWidth="1"/>
    <x:col min="4" max="4" width="32" hidden="0" customWidth="1"/>
    <x:col min="5" max="5" width="36" hidden="0" customWidth="1"/>
    <x:col min="6" max="6" width="65" hidden="0" customWidth="1"/>
    <x:col min="7" max="7" width="18" hidden="0" customWidth="1"/>
    <x:col min="8" max="8" width="22" hidden="0" customWidth="1"/>
    <x:col min="9" max="9" width="22" hidden="0" customWidth="1"/>
    <x:col min="10" max="10" width="55" hidden="0" customWidth="1"/>
    <x:col min="11" max="11" width="26" hidden="0" customWidth="1"/>
  </x:cols>
  <x:sheetData>
    <x:row r="1" ht="24" customHeight="1">
      <x:c r="A1" s="2"/>
      <x:c r="B1" s="2"/>
      <x:c r="C1" s="2"/>
      <x:c r="D1" s="2"/>
      <x:c r="E1" s="2"/>
      <x:c r="F1" s="2"/>
      <x:c r="G1" s="2"/>
      <x:c r="H1" s="2"/>
      <x:c r="I1" s="2"/>
      <x:c r="J1" s="2"/>
      <x:c r="K1" s="2"/>
    </x:row>
    <x:row r="2" ht="24" customHeight="1">
      <x:c r="A2" s="7" t="str">
        <x:v>Exceptions requiring evidence</x:v>
      </x:c>
      <x:c r="B2" s="2"/>
      <x:c r="C2" s="2"/>
      <x:c r="D2" s="2"/>
      <x:c r="E2" s="2"/>
      <x:c r="F2" s="2"/>
      <x:c r="G2" s="2"/>
      <x:c r="H2" s="2"/>
      <x:c r="I2" s="2"/>
      <x:c r="J2" s="2"/>
      <x:c r="K2" s="2"/>
    </x:row>
    <x:row r="3" ht="24" customHeight="1">
      <x:c r="A3" s="8" t="str">
        <x:v>Amber cells are reviewer inputs. Recording evidence does not release a held record. See Read me for the release procedure.</x:v>
      </x:c>
      <x:c r="B3" s="2"/>
      <x:c r="C3" s="2"/>
      <x:c r="D3" s="2"/>
      <x:c r="E3" s="2"/>
      <x:c r="F3" s="2"/>
      <x:c r="G3" s="2"/>
      <x:c r="H3" s="2"/>
      <x:c r="I3" s="2"/>
      <x:c r="J3" s="2"/>
      <x:c r="K3" s="2"/>
    </x:row>
    <x:row r="4" ht="24" customHeight="1">
      <x:c r="A4" s="2"/>
      <x:c r="B4" s="2"/>
      <x:c r="C4" s="2"/>
      <x:c r="D4" s="2"/>
      <x:c r="E4" s="2"/>
      <x:c r="F4" s="2"/>
      <x:c r="G4" s="2"/>
      <x:c r="H4" s="2"/>
      <x:c r="I4" s="2"/>
      <x:c r="J4" s="2"/>
      <x:c r="K4" s="2"/>
    </x:row>
    <x:row r="5" ht="34" customHeight="1">
      <x:c r="A5" s="6" t="str">
        <x:v>Exception ID</x:v>
      </x:c>
      <x:c r="B5" s="6" t="str">
        <x:v>Record ID</x:v>
      </x:c>
      <x:c r="C5" s="6" t="str">
        <x:v>Field</x:v>
      </x:c>
      <x:c r="D5" s="6" t="str">
        <x:v>Raw value</x:v>
      </x:c>
      <x:c r="E5" s="6" t="str">
        <x:v>Issue</x:v>
      </x:c>
      <x:c r="F5" s="6" t="str">
        <x:v>Evidence needed</x:v>
      </x:c>
      <x:c r="G5" s="6" t="str">
        <x:v>Related record</x:v>
      </x:c>
      <x:c r="H5" s="6" t="str">
        <x:v>Review stage</x:v>
      </x:c>
      <x:c r="I5" s="6" t="str">
        <x:v>Owner</x:v>
      </x:c>
      <x:c r="J5" s="6" t="str">
        <x:v>Proposed correction / evidence</x:v>
      </x:c>
      <x:c r="K5" s="6" t="str">
        <x:v>Reviewer / date</x:v>
      </x:c>
    </x:row>
    <x:row r="6" ht="65" customHeight="1">
      <x:c r="A6" s="2" t="str">
        <x:v>E1</x:v>
      </x:c>
      <x:c r="B6" s="2" t="str">
        <x:v>R049</x:v>
      </x:c>
      <x:c r="C6" s="14" t="str">
        <x:v>Quantity</x:v>
      </x:c>
      <x:c r="D6" s="14" t="str">
        <x:v>12?</x:v>
      </x:c>
      <x:c r="E6" s="14" t="str">
        <x:v>Uncertain quantity</x:v>
      </x:c>
      <x:c r="F6" s="14" t="str">
        <x:v>Recount or obtain the signed count sheet.</x:v>
      </x:c>
      <x:c r="G6" s="14" t="str"/>
      <x:c r="H6" s="15" t="str">
        <x:v>Open</x:v>
      </x:c>
      <x:c r="I6" s="15" t="str"/>
      <x:c r="J6" s="15" t="str"/>
      <x:c r="K6" s="15" t="str"/>
    </x:row>
    <x:row r="7" ht="65" customHeight="1">
      <x:c r="A7" s="2" t="str">
        <x:v>E2</x:v>
      </x:c>
      <x:c r="B7" s="2" t="str">
        <x:v>R050</x:v>
      </x:c>
      <x:c r="C7" s="14" t="str">
        <x:v>UOM</x:v>
      </x:c>
      <x:c r="D7" s="14" t="str">
        <x:v>BOX</x:v>
      </x:c>
      <x:c r="E7" s="14" t="str">
        <x:v>Unknown pack size</x:v>
      </x:c>
      <x:c r="F7" s="14" t="str">
        <x:v>Confirm units per box and whether cost is per box or per each.</x:v>
      </x:c>
      <x:c r="G7" s="14" t="str"/>
      <x:c r="H7" s="15" t="str">
        <x:v>Open</x:v>
      </x:c>
      <x:c r="I7" s="15" t="str"/>
      <x:c r="J7" s="15" t="str"/>
      <x:c r="K7" s="15" t="str"/>
    </x:row>
    <x:row r="8" ht="65" customHeight="1">
      <x:c r="A8" s="2" t="str">
        <x:v>E3</x:v>
      </x:c>
      <x:c r="B8" s="2" t="str">
        <x:v>R051</x:v>
      </x:c>
      <x:c r="C8" s="14" t="str">
        <x:v>Count date</x:v>
      </x:c>
      <x:c r="D8" s="14" t="str">
        <x:v>09/10/2026</x:v>
      </x:c>
      <x:c r="E8" s="14" t="str">
        <x:v>Ambiguous date order</x:v>
      </x:c>
      <x:c r="F8" s="14" t="str">
        <x:v>Obtain an ISO date from the source owner.</x:v>
      </x:c>
      <x:c r="G8" s="14" t="str"/>
      <x:c r="H8" s="15" t="str">
        <x:v>Open</x:v>
      </x:c>
      <x:c r="I8" s="15" t="str"/>
      <x:c r="J8" s="15" t="str"/>
      <x:c r="K8" s="15" t="str"/>
    </x:row>
    <x:row r="9" ht="65" customHeight="1">
      <x:c r="A9" s="2" t="str">
        <x:v>E4</x:v>
      </x:c>
      <x:c r="B9" s="2" t="str">
        <x:v>R052</x:v>
      </x:c>
      <x:c r="C9" s="14" t="str">
        <x:v>Quantity</x:v>
      </x:c>
      <x:c r="D9" s="14" t="str">
        <x:v>-8</x:v>
      </x:c>
      <x:c r="E9" s="14" t="str">
        <x:v>Negative physical count</x:v>
      </x:c>
      <x:c r="F9" s="14" t="str">
        <x:v>Confirm whether this is a count or an adjustment.</x:v>
      </x:c>
      <x:c r="G9" s="14" t="str"/>
      <x:c r="H9" s="15" t="str">
        <x:v>Open</x:v>
      </x:c>
      <x:c r="I9" s="15" t="str"/>
      <x:c r="J9" s="15" t="str"/>
      <x:c r="K9" s="15" t="str"/>
    </x:row>
    <x:row r="10" ht="65" customHeight="1">
      <x:c r="A10" s="2" t="str">
        <x:v>E5</x:v>
      </x:c>
      <x:c r="B10" s="2" t="str">
        <x:v>R053</x:v>
      </x:c>
      <x:c r="C10" s="14" t="str">
        <x:v>Unit cost</x:v>
      </x:c>
      <x:c r="D10" s="14" t="str"/>
      <x:c r="E10" s="14" t="str">
        <x:v>Missing valuation input</x:v>
      </x:c>
      <x:c r="F10" s="14" t="str">
        <x:v>Obtain dated USD cost per stated unit. Master reference cost is not a substitute.</x:v>
      </x:c>
      <x:c r="G10" s="14" t="str"/>
      <x:c r="H10" s="15" t="str">
        <x:v>Open</x:v>
      </x:c>
      <x:c r="I10" s="15" t="str"/>
      <x:c r="J10" s="15" t="str"/>
      <x:c r="K10" s="15" t="str"/>
    </x:row>
    <x:row r="11" ht="65" customHeight="1">
      <x:c r="A11" s="2" t="str">
        <x:v>E6</x:v>
      </x:c>
      <x:c r="B11" s="2" t="str">
        <x:v>R054</x:v>
      </x:c>
      <x:c r="C11" s="14" t="str">
        <x:v>SKU</x:v>
      </x:c>
      <x:c r="D11" s="14" t="str"/>
      <x:c r="E11" s="14" t="str">
        <x:v>Missing part identity</x:v>
      </x:c>
      <x:c r="F11" s="14" t="str">
        <x:v>Inspect part marking. Do not choose between sealed and shielded bearings by description.</x:v>
      </x:c>
      <x:c r="G11" s="14" t="str"/>
      <x:c r="H11" s="15" t="str">
        <x:v>Open</x:v>
      </x:c>
      <x:c r="I11" s="15" t="str"/>
      <x:c r="J11" s="15" t="str"/>
      <x:c r="K11" s="15" t="str"/>
    </x:row>
    <x:row r="12" ht="65" customHeight="1">
      <x:c r="A12" s="2" t="str">
        <x:v>E7</x:v>
      </x:c>
      <x:c r="B12" s="2" t="str">
        <x:v>R055</x:v>
      </x:c>
      <x:c r="C12" s="14" t="str">
        <x:v>Description</x:v>
      </x:c>
      <x:c r="D12" s="14" t="str">
        <x:v>Bearing 6205, rubber seals</x:v>
      </x:c>
      <x:c r="E12" s="14" t="str">
        <x:v>SKU and description conflict</x:v>
      </x:c>
      <x:c r="F12" s="14" t="str">
        <x:v>Inspect label to confirm rubber seals or metal shields.</x:v>
      </x:c>
      <x:c r="G12" s="14" t="str"/>
      <x:c r="H12" s="15" t="str">
        <x:v>Open</x:v>
      </x:c>
      <x:c r="I12" s="15" t="str"/>
      <x:c r="J12" s="15" t="str"/>
      <x:c r="K12" s="15" t="str"/>
    </x:row>
    <x:row r="13" ht="65" customHeight="1">
      <x:c r="A13" s="2" t="str">
        <x:v>E8</x:v>
      </x:c>
      <x:c r="B13" s="2" t="str">
        <x:v>R056</x:v>
      </x:c>
      <x:c r="C13" s="14" t="str">
        <x:v>Count date</x:v>
      </x:c>
      <x:c r="D13" s="14" t="str">
        <x:v>2026-02-30</x:v>
      </x:c>
      <x:c r="E13" s="14" t="str">
        <x:v>Impossible calendar date</x:v>
      </x:c>
      <x:c r="F13" s="14" t="str">
        <x:v>Obtain the original count date.</x:v>
      </x:c>
      <x:c r="G13" s="14" t="str"/>
      <x:c r="H13" s="15" t="str">
        <x:v>Open</x:v>
      </x:c>
      <x:c r="I13" s="15" t="str"/>
      <x:c r="J13" s="15" t="str"/>
      <x:c r="K13" s="15" t="str"/>
    </x:row>
    <x:row r="14" ht="65" customHeight="1">
      <x:c r="A14" s="2" t="str">
        <x:v>E9</x:v>
      </x:c>
      <x:c r="B14" s="2" t="str">
        <x:v>R057</x:v>
      </x:c>
      <x:c r="C14" s="14" t="str">
        <x:v>Stock key</x:v>
      </x:c>
      <x:c r="D14" s="14" t="str">
        <x:v>BELT-B42 / D-09</x:v>
      </x:c>
      <x:c r="E14" s="14" t="str">
        <x:v>Conflicting same-bin counts</x:v>
      </x:c>
      <x:c r="F14" s="14" t="str">
        <x:v>Reconcile R057 and R058 with signed count sheets. Do not add or select one.</x:v>
      </x:c>
      <x:c r="G14" s="14" t="str">
        <x:v>R058</x:v>
      </x:c>
      <x:c r="H14" s="15" t="str">
        <x:v>Open</x:v>
      </x:c>
      <x:c r="I14" s="15" t="str"/>
      <x:c r="J14" s="15" t="str"/>
      <x:c r="K14" s="15" t="str"/>
    </x:row>
    <x:row r="15" ht="65" customHeight="1">
      <x:c r="A15" s="2" t="str">
        <x:v>E10</x:v>
      </x:c>
      <x:c r="B15" s="2" t="str">
        <x:v>R058</x:v>
      </x:c>
      <x:c r="C15" s="14" t="str">
        <x:v>Stock key</x:v>
      </x:c>
      <x:c r="D15" s="14" t="str">
        <x:v>BELT-B42 / D-09</x:v>
      </x:c>
      <x:c r="E15" s="14" t="str">
        <x:v>Conflicting same-bin counts</x:v>
      </x:c>
      <x:c r="F15" s="14" t="str">
        <x:v>Reconcile R057 and R058 with signed count sheets. Do not add or select one.</x:v>
      </x:c>
      <x:c r="G15" s="14" t="str">
        <x:v>R057</x:v>
      </x:c>
      <x:c r="H15" s="15" t="str">
        <x:v>Open</x:v>
      </x:c>
      <x:c r="I15" s="15" t="str"/>
      <x:c r="J15" s="15" t="str"/>
      <x:c r="K15" s="15" t="str"/>
    </x:row>
  </x:sheetData>
  <x:dataValidations count="1">
    <x:dataValidation type="list" sqref="H6:H15">
      <x:formula1>"Open,Investigating,Evidence recorded"</x:formula1>
    </x:dataValidation>
  </x:dataValidations>
  <x:pageMargins left="0.7" right="0.7" top="0.75" bottom="0.75" header="0.3" footer="0.3"/>
  <x:tableParts count="1">
    <x:tablePart xmlns:r="http://schemas.openxmlformats.org/officeDocument/2006/relationships" r:id="Ra2a0542db5644474"/>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4" hidden="0" customWidth="1"/>
    <x:col min="2" max="2" width="19" hidden="0" customWidth="1"/>
    <x:col min="3" max="3" width="23" hidden="0" customWidth="1"/>
    <x:col min="4" max="4" width="48" hidden="0" customWidth="1"/>
    <x:col min="5" max="5" width="18" hidden="0" customWidth="1"/>
    <x:col min="6" max="6" width="20" hidden="0" customWidth="1"/>
    <x:col min="7" max="7" width="20" hidden="0" customWidth="1"/>
    <x:col min="8" max="8" width="26" hidden="0" customWidth="1"/>
    <x:col min="9" max="9" width="27" hidden="0" customWidth="1"/>
  </x:cols>
  <x:sheetData>
    <x:row r="1" ht="24" customHeight="1">
      <x:c r="A1" s="2"/>
      <x:c r="B1" s="2"/>
      <x:c r="C1" s="2"/>
      <x:c r="D1" s="2"/>
      <x:c r="E1" s="2"/>
      <x:c r="F1" s="2"/>
      <x:c r="G1" s="2"/>
      <x:c r="H1" s="2"/>
      <x:c r="I1" s="2"/>
    </x:row>
    <x:row r="2" ht="24" customHeight="1">
      <x:c r="A2" s="7" t="str">
        <x:v>Original synthetic export</x:v>
      </x:c>
      <x:c r="B2" s="2"/>
      <x:c r="C2" s="2"/>
      <x:c r="D2" s="2"/>
      <x:c r="E2" s="2"/>
      <x:c r="F2" s="2"/>
      <x:c r="G2" s="2"/>
      <x:c r="H2" s="2"/>
      <x:c r="I2" s="2"/>
    </x:row>
    <x:row r="3" ht="24" customHeight="1">
      <x:c r="A3" s="8" t="str">
        <x:v>Fictional training data. Original values are text and are preserved exactly, including whitespace and repeated source rows.</x:v>
      </x:c>
      <x:c r="B3" s="2"/>
      <x:c r="C3" s="2"/>
      <x:c r="D3" s="2"/>
      <x:c r="E3" s="2"/>
      <x:c r="F3" s="2"/>
      <x:c r="G3" s="2"/>
      <x:c r="H3" s="2"/>
      <x:c r="I3" s="2"/>
    </x:row>
    <x:row r="4" ht="24" customHeight="1">
      <x:c r="A4" s="2"/>
      <x:c r="B4" s="2"/>
      <x:c r="C4" s="2"/>
      <x:c r="D4" s="2"/>
      <x:c r="E4" s="2"/>
      <x:c r="F4" s="2"/>
      <x:c r="G4" s="2"/>
      <x:c r="H4" s="2"/>
      <x:c r="I4" s="2"/>
    </x:row>
    <x:row r="5" ht="34" customHeight="1">
      <x:c r="A5" s="6" t="str">
        <x:v>Record ID</x:v>
      </x:c>
      <x:c r="B5" s="6" t="str">
        <x:v>Count reference</x:v>
      </x:c>
      <x:c r="C5" s="6" t="str">
        <x:v>SKU as received</x:v>
      </x:c>
      <x:c r="D5" s="6" t="str">
        <x:v>Description as received</x:v>
      </x:c>
      <x:c r="E5" s="6" t="str">
        <x:v>Bin as received</x:v>
      </x:c>
      <x:c r="F5" s="6" t="str">
        <x:v>Qty as received</x:v>
      </x:c>
      <x:c r="G5" s="6" t="str">
        <x:v>UOM as received</x:v>
      </x:c>
      <x:c r="H5" s="6" t="str">
        <x:v>Unit cost as received</x:v>
      </x:c>
      <x:c r="I5" s="6" t="str">
        <x:v>Count date as received</x:v>
      </x:c>
    </x:row>
    <x:row r="6" ht="24" customHeight="1">
      <x:c r="A6" s="13" t="str">
        <x:v>R001</x:v>
      </x:c>
      <x:c r="B6" s="13" t="str">
        <x:v>CNT-001</x:v>
      </x:c>
      <x:c r="C6" s="13" t="str">
        <x:v> brg-6205-2rs </x:v>
      </x:c>
      <x:c r="D6" s="13" t="str">
        <x:v> Bearing  6205,  rubber  seals </x:v>
      </x:c>
      <x:c r="E6" s="13" t="str">
        <x:v> a-01 </x:v>
      </x:c>
      <x:c r="F6" s="13" t="str">
        <x:v> 0 </x:v>
      </x:c>
      <x:c r="G6" s="13" t="str">
        <x:v>each</x:v>
      </x:c>
      <x:c r="H6" s="13" t="str">
        <x:v>$18.50</x:v>
      </x:c>
      <x:c r="I6" s="13" t="str">
        <x:v>2026-09-30</x:v>
      </x:c>
    </x:row>
    <x:row r="7" ht="24" customHeight="1">
      <x:c r="A7" s="13" t="str">
        <x:v>R002</x:v>
      </x:c>
      <x:c r="B7" s="13" t="str">
        <x:v>CNT-002</x:v>
      </x:c>
      <x:c r="C7" s="13" t="str">
        <x:v>BRG-6205-ZZ</x:v>
      </x:c>
      <x:c r="D7" s="13" t="str">
        <x:v>Bearing 6205, metal shields</x:v>
      </x:c>
      <x:c r="E7" s="13" t="str">
        <x:v> a-02 </x:v>
      </x:c>
      <x:c r="F7" s="13" t="str">
        <x:v>8</x:v>
      </x:c>
      <x:c r="G7" s="13" t="str">
        <x:v>EA</x:v>
      </x:c>
      <x:c r="H7" s="13" t="str">
        <x:v>16.75</x:v>
      </x:c>
      <x:c r="I7" s="13" t="str">
        <x:v>30 Sep 2026</x:v>
      </x:c>
    </x:row>
    <x:row r="8" ht="24" customHeight="1">
      <x:c r="A8" s="13" t="str">
        <x:v>R003</x:v>
      </x:c>
      <x:c r="B8" s="13" t="str">
        <x:v>CNT-003</x:v>
      </x:c>
      <x:c r="C8" s="13" t="str">
        <x:v>FLT-H100</x:v>
      </x:c>
      <x:c r="D8" s="13" t="str">
        <x:v>Hydraulic return filter H100</x:v>
      </x:c>
      <x:c r="E8" s="13" t="str">
        <x:v> a-03 </x:v>
      </x:c>
      <x:c r="F8" s="13" t="str">
        <x:v>15</x:v>
      </x:c>
      <x:c r="G8" s="13" t="str">
        <x:v>EA</x:v>
      </x:c>
      <x:c r="H8" s="13" t="str">
        <x:v>42</x:v>
      </x:c>
      <x:c r="I8" s="13" t="str">
        <x:v>2026-09-30</x:v>
      </x:c>
    </x:row>
    <x:row r="9" ht="24" customHeight="1">
      <x:c r="A9" s="13" t="str">
        <x:v>R004</x:v>
      </x:c>
      <x:c r="B9" s="13" t="str">
        <x:v>CNT-004</x:v>
      </x:c>
      <x:c r="C9" s="13" t="str">
        <x:v> flt-h100a </x:v>
      </x:c>
      <x:c r="D9" s="13" t="str">
        <x:v>Hydraulic return filter H100A</x:v>
      </x:c>
      <x:c r="E9" s="13" t="str">
        <x:v> a-04 </x:v>
      </x:c>
      <x:c r="F9" s="13" t="str">
        <x:v>22</x:v>
      </x:c>
      <x:c r="G9" s="13" t="str">
        <x:v>each</x:v>
      </x:c>
      <x:c r="H9" s="13" t="str">
        <x:v>46.8</x:v>
      </x:c>
      <x:c r="I9" s="13" t="str">
        <x:v>30 Sep 2026</x:v>
      </x:c>
    </x:row>
    <x:row r="10" ht="24" customHeight="1">
      <x:c r="A10" s="13" t="str">
        <x:v>R005</x:v>
      </x:c>
      <x:c r="B10" s="13" t="str">
        <x:v>CNT-005</x:v>
      </x:c>
      <x:c r="C10" s="13" t="str">
        <x:v>BELT-B42</x:v>
      </x:c>
      <x:c r="D10" s="13" t="str">
        <x:v> V-belt  B42 </x:v>
      </x:c>
      <x:c r="E10" s="13" t="str">
        <x:v> a-05 </x:v>
      </x:c>
      <x:c r="F10" s="13" t="str">
        <x:v>29</x:v>
      </x:c>
      <x:c r="G10" s="13" t="str">
        <x:v>EA</x:v>
      </x:c>
      <x:c r="H10" s="13" t="str">
        <x:v>$23.40</x:v>
      </x:c>
      <x:c r="I10" s="13" t="str">
        <x:v>2026-09-30</x:v>
      </x:c>
    </x:row>
    <x:row r="11" ht="24" customHeight="1">
      <x:c r="A11" s="13" t="str">
        <x:v>R006</x:v>
      </x:c>
      <x:c r="B11" s="13" t="str">
        <x:v>CNT-006</x:v>
      </x:c>
      <x:c r="C11" s="13" t="str">
        <x:v>BELT-B43</x:v>
      </x:c>
      <x:c r="D11" s="13" t="str">
        <x:v>V-belt B43</x:v>
      </x:c>
      <x:c r="E11" s="13" t="str">
        <x:v> a-06 </x:v>
      </x:c>
      <x:c r="F11" s="13" t="str">
        <x:v> 36 </x:v>
      </x:c>
      <x:c r="G11" s="13" t="str">
        <x:v>EA</x:v>
      </x:c>
      <x:c r="H11" s="13" t="str">
        <x:v>24.2</x:v>
      </x:c>
      <x:c r="I11" s="13" t="str">
        <x:v>30 Sep 2026</x:v>
      </x:c>
    </x:row>
    <x:row r="12" ht="24" customHeight="1">
      <x:c r="A12" s="13" t="str">
        <x:v>R007</x:v>
      </x:c>
      <x:c r="B12" s="13" t="str">
        <x:v>CNT-007</x:v>
      </x:c>
      <x:c r="C12" s="13" t="str">
        <x:v> seal-040 </x:v>
      </x:c>
      <x:c r="D12" s="13" t="str">
        <x:v>Shaft seal 40 mm</x:v>
      </x:c>
      <x:c r="E12" s="13" t="str">
        <x:v> a-07 </x:v>
      </x:c>
      <x:c r="F12" s="13" t="str">
        <x:v>43</x:v>
      </x:c>
      <x:c r="G12" s="13" t="str">
        <x:v>each</x:v>
      </x:c>
      <x:c r="H12" s="13" t="str">
        <x:v>8.6</x:v>
      </x:c>
      <x:c r="I12" s="13" t="str">
        <x:v>2026-09-30</x:v>
      </x:c>
    </x:row>
    <x:row r="13" ht="24" customHeight="1">
      <x:c r="A13" s="13" t="str">
        <x:v>R008</x:v>
      </x:c>
      <x:c r="B13" s="13" t="str">
        <x:v>CNT-008</x:v>
      </x:c>
      <x:c r="C13" s="13" t="str">
        <x:v>SEAL-045</x:v>
      </x:c>
      <x:c r="D13" s="13" t="str">
        <x:v>Shaft seal 45 mm</x:v>
      </x:c>
      <x:c r="E13" s="13" t="str">
        <x:v> a-08 </x:v>
      </x:c>
      <x:c r="F13" s="13" t="str">
        <x:v>5</x:v>
      </x:c>
      <x:c r="G13" s="13" t="str">
        <x:v>EA</x:v>
      </x:c>
      <x:c r="H13" s="13" t="str">
        <x:v>9.1</x:v>
      </x:c>
      <x:c r="I13" s="13" t="str">
        <x:v>30 Sep 2026</x:v>
      </x:c>
    </x:row>
    <x:row r="14" ht="24" customHeight="1">
      <x:c r="A14" s="13" t="str">
        <x:v>R009</x:v>
      </x:c>
      <x:c r="B14" s="13" t="str">
        <x:v>CNT-009</x:v>
      </x:c>
      <x:c r="C14" s="13" t="str">
        <x:v>BOLT-M12-40</x:v>
      </x:c>
      <x:c r="D14" s="13" t="str">
        <x:v> Bolt  M12  x  40  mm </x:v>
      </x:c>
      <x:c r="E14" s="13" t="str">
        <x:v> a-09 </x:v>
      </x:c>
      <x:c r="F14" s="13" t="str">
        <x:v>12</x:v>
      </x:c>
      <x:c r="G14" s="13" t="str">
        <x:v>EA</x:v>
      </x:c>
      <x:c r="H14" s="13" t="str">
        <x:v>$0.85</x:v>
      </x:c>
      <x:c r="I14" s="13" t="str">
        <x:v>2026-09-30</x:v>
      </x:c>
    </x:row>
    <x:row r="15" ht="24" customHeight="1">
      <x:c r="A15" s="13" t="str">
        <x:v>R010</x:v>
      </x:c>
      <x:c r="B15" s="13" t="str">
        <x:v>CNT-010</x:v>
      </x:c>
      <x:c r="C15" s="13" t="str">
        <x:v> bolt-m12-50 </x:v>
      </x:c>
      <x:c r="D15" s="13" t="str">
        <x:v>Bolt M12 x 50 mm</x:v>
      </x:c>
      <x:c r="E15" s="13" t="str">
        <x:v> a-10 </x:v>
      </x:c>
      <x:c r="F15" s="13" t="str">
        <x:v>19</x:v>
      </x:c>
      <x:c r="G15" s="13" t="str">
        <x:v>each</x:v>
      </x:c>
      <x:c r="H15" s="13" t="str">
        <x:v>0.95</x:v>
      </x:c>
      <x:c r="I15" s="13" t="str">
        <x:v>30 Sep 2026</x:v>
      </x:c>
    </x:row>
    <x:row r="16" ht="24" customHeight="1">
      <x:c r="A16" s="13" t="str">
        <x:v>R011</x:v>
      </x:c>
      <x:c r="B16" s="13" t="str">
        <x:v>CNT-011</x:v>
      </x:c>
      <x:c r="C16" s="13" t="str">
        <x:v>HOSE-038</x:v>
      </x:c>
      <x:c r="D16" s="13" t="str">
        <x:v>Hydraulic hose, 3/8 inch</x:v>
      </x:c>
      <x:c r="E16" s="13" t="str">
        <x:v> a-11 </x:v>
      </x:c>
      <x:c r="F16" s="13" t="str">
        <x:v> 17.5 </x:v>
      </x:c>
      <x:c r="G16" s="13" t="str">
        <x:v>M</x:v>
      </x:c>
      <x:c r="H16" s="13" t="str">
        <x:v>12.5</x:v>
      </x:c>
      <x:c r="I16" s="13" t="str">
        <x:v>2026-09-30</x:v>
      </x:c>
    </x:row>
    <x:row r="17" ht="24" customHeight="1">
      <x:c r="A17" s="13" t="str">
        <x:v>R012</x:v>
      </x:c>
      <x:c r="B17" s="13" t="str">
        <x:v>CNT-012</x:v>
      </x:c>
      <x:c r="C17" s="13" t="str">
        <x:v>HOSE-050</x:v>
      </x:c>
      <x:c r="D17" s="13" t="str">
        <x:v>Hydraulic hose, 1/2 inch</x:v>
      </x:c>
      <x:c r="E17" s="13" t="str">
        <x:v> a-12 </x:v>
      </x:c>
      <x:c r="F17" s="13" t="str">
        <x:v>23</x:v>
      </x:c>
      <x:c r="G17" s="13" t="str">
        <x:v>M</x:v>
      </x:c>
      <x:c r="H17" s="13" t="str">
        <x:v>15.8</x:v>
      </x:c>
      <x:c r="I17" s="13" t="str">
        <x:v>30 Sep 2026</x:v>
      </x:c>
    </x:row>
    <x:row r="18" ht="24" customHeight="1">
      <x:c r="A18" s="13" t="str">
        <x:v>R013</x:v>
      </x:c>
      <x:c r="B18" s="13" t="str">
        <x:v>CNT-013</x:v>
      </x:c>
      <x:c r="C18" s="13" t="str">
        <x:v> grease-ep2 </x:v>
      </x:c>
      <x:c r="D18" s="13" t="str">
        <x:v> EP2  grease </x:v>
      </x:c>
      <x:c r="E18" s="13" t="str">
        <x:v> a-13 </x:v>
      </x:c>
      <x:c r="F18" s="13" t="str">
        <x:v>28.5</x:v>
      </x:c>
      <x:c r="G18" s="13" t="str">
        <x:v>kg</x:v>
      </x:c>
      <x:c r="H18" s="13" t="str">
        <x:v>$7.90</x:v>
      </x:c>
      <x:c r="I18" s="13" t="str">
        <x:v>2026-09-30</x:v>
      </x:c>
    </x:row>
    <x:row r="19" ht="24" customHeight="1">
      <x:c r="A19" s="13" t="str">
        <x:v>R014</x:v>
      </x:c>
      <x:c r="B19" s="13" t="str">
        <x:v>CNT-014</x:v>
      </x:c>
      <x:c r="C19" s="13" t="str">
        <x:v>OIL-ISO46</x:v>
      </x:c>
      <x:c r="D19" s="13" t="str">
        <x:v>Hydraulic oil ISO 46</x:v>
      </x:c>
      <x:c r="E19" s="13" t="str">
        <x:v> a-14 </x:v>
      </x:c>
      <x:c r="F19" s="13" t="str">
        <x:v>34</x:v>
      </x:c>
      <x:c r="G19" s="13" t="str">
        <x:v>L</x:v>
      </x:c>
      <x:c r="H19" s="13" t="str">
        <x:v>5.6</x:v>
      </x:c>
      <x:c r="I19" s="13" t="str">
        <x:v>30 Sep 2026</x:v>
      </x:c>
    </x:row>
    <x:row r="20" ht="24" customHeight="1">
      <x:c r="A20" s="13" t="str">
        <x:v>R015</x:v>
      </x:c>
      <x:c r="B20" s="13" t="str">
        <x:v>CNT-015</x:v>
      </x:c>
      <x:c r="C20" s="13" t="str">
        <x:v>00127</x:v>
      </x:c>
      <x:c r="D20" s="13" t="str">
        <x:v>Conveyor scraper insert, type A</x:v>
      </x:c>
      <x:c r="E20" s="13" t="str">
        <x:v> a-15 </x:v>
      </x:c>
      <x:c r="F20" s="13" t="str">
        <x:v>9</x:v>
      </x:c>
      <x:c r="G20" s="13" t="str">
        <x:v>EA</x:v>
      </x:c>
      <x:c r="H20" s="13" t="str">
        <x:v>31</x:v>
      </x:c>
      <x:c r="I20" s="13" t="str">
        <x:v>2026-09-30</x:v>
      </x:c>
    </x:row>
    <x:row r="21" ht="24" customHeight="1">
      <x:c r="A21" s="13" t="str">
        <x:v>R016</x:v>
      </x:c>
      <x:c r="B21" s="13" t="str">
        <x:v>CNT-016</x:v>
      </x:c>
      <x:c r="C21" s="13" t="str">
        <x:v> 127 </x:v>
      </x:c>
      <x:c r="D21" s="13" t="str">
        <x:v>Conveyor scraper insert, type B</x:v>
      </x:c>
      <x:c r="E21" s="13" t="str">
        <x:v> a-16 </x:v>
      </x:c>
      <x:c r="F21" s="13" t="str">
        <x:v> 16 </x:v>
      </x:c>
      <x:c r="G21" s="13" t="str">
        <x:v>each</x:v>
      </x:c>
      <x:c r="H21" s="13" t="str">
        <x:v>34</x:v>
      </x:c>
      <x:c r="I21" s="13" t="str">
        <x:v>30 Sep 2026</x:v>
      </x:c>
    </x:row>
    <x:row r="22" ht="24" customHeight="1">
      <x:c r="A22" s="13" t="str">
        <x:v>R017</x:v>
      </x:c>
      <x:c r="B22" s="13" t="str">
        <x:v>CNT-017</x:v>
      </x:c>
      <x:c r="C22" s="13" t="str">
        <x:v>BRG-6205-2RS</x:v>
      </x:c>
      <x:c r="D22" s="13" t="str">
        <x:v> Bearing  6205,  rubber  seals </x:v>
      </x:c>
      <x:c r="E22" s="13" t="str">
        <x:v> b-01 </x:v>
      </x:c>
      <x:c r="F22" s="13" t="str">
        <x:v>23</x:v>
      </x:c>
      <x:c r="G22" s="13" t="str">
        <x:v>EA</x:v>
      </x:c>
      <x:c r="H22" s="13" t="str">
        <x:v>$18.50</x:v>
      </x:c>
      <x:c r="I22" s="13" t="str">
        <x:v>2026-09-30</x:v>
      </x:c>
    </x:row>
    <x:row r="23" ht="24" customHeight="1">
      <x:c r="A23" s="13" t="str">
        <x:v>R018</x:v>
      </x:c>
      <x:c r="B23" s="13" t="str">
        <x:v>CNT-018</x:v>
      </x:c>
      <x:c r="C23" s="13" t="str">
        <x:v>BRG-6205-ZZ</x:v>
      </x:c>
      <x:c r="D23" s="13" t="str">
        <x:v>Bearing 6205, metal shields</x:v>
      </x:c>
      <x:c r="E23" s="13" t="str">
        <x:v> b-02 </x:v>
      </x:c>
      <x:c r="F23" s="13" t="str">
        <x:v>30</x:v>
      </x:c>
      <x:c r="G23" s="13" t="str">
        <x:v>EA</x:v>
      </x:c>
      <x:c r="H23" s="13" t="str">
        <x:v>16.75</x:v>
      </x:c>
      <x:c r="I23" s="13" t="str">
        <x:v>30 Sep 2026</x:v>
      </x:c>
    </x:row>
    <x:row r="24" ht="24" customHeight="1">
      <x:c r="A24" s="13" t="str">
        <x:v>R019</x:v>
      </x:c>
      <x:c r="B24" s="13" t="str">
        <x:v>CNT-019</x:v>
      </x:c>
      <x:c r="C24" s="13" t="str">
        <x:v> flt-h100 </x:v>
      </x:c>
      <x:c r="D24" s="13" t="str">
        <x:v>Hydraulic return filter H100</x:v>
      </x:c>
      <x:c r="E24" s="13" t="str">
        <x:v> b-03 </x:v>
      </x:c>
      <x:c r="F24" s="13" t="str">
        <x:v>37</x:v>
      </x:c>
      <x:c r="G24" s="13" t="str">
        <x:v>each</x:v>
      </x:c>
      <x:c r="H24" s="13" t="str">
        <x:v>42</x:v>
      </x:c>
      <x:c r="I24" s="13" t="str">
        <x:v>2026-09-30</x:v>
      </x:c>
    </x:row>
    <x:row r="25" ht="24" customHeight="1">
      <x:c r="A25" s="13" t="str">
        <x:v>R020</x:v>
      </x:c>
      <x:c r="B25" s="13" t="str">
        <x:v>CNT-020</x:v>
      </x:c>
      <x:c r="C25" s="13" t="str">
        <x:v>FLT-H100A</x:v>
      </x:c>
      <x:c r="D25" s="13" t="str">
        <x:v>Hydraulic return filter H100A</x:v>
      </x:c>
      <x:c r="E25" s="13" t="str">
        <x:v> b-04 </x:v>
      </x:c>
      <x:c r="F25" s="13" t="str">
        <x:v>44</x:v>
      </x:c>
      <x:c r="G25" s="13" t="str">
        <x:v>EA</x:v>
      </x:c>
      <x:c r="H25" s="13" t="str">
        <x:v>46.8</x:v>
      </x:c>
      <x:c r="I25" s="13" t="str">
        <x:v>30 Sep 2026</x:v>
      </x:c>
    </x:row>
    <x:row r="26" ht="24" customHeight="1">
      <x:c r="A26" s="13" t="str">
        <x:v>R021</x:v>
      </x:c>
      <x:c r="B26" s="13" t="str">
        <x:v>CNT-021</x:v>
      </x:c>
      <x:c r="C26" s="13" t="str">
        <x:v>BELT-B42</x:v>
      </x:c>
      <x:c r="D26" s="13" t="str">
        <x:v> V-belt  B42 </x:v>
      </x:c>
      <x:c r="E26" s="13" t="str">
        <x:v> b-05 </x:v>
      </x:c>
      <x:c r="F26" s="13" t="str">
        <x:v> 6 </x:v>
      </x:c>
      <x:c r="G26" s="13" t="str">
        <x:v>EA</x:v>
      </x:c>
      <x:c r="H26" s="13" t="str">
        <x:v>$23.40</x:v>
      </x:c>
      <x:c r="I26" s="13" t="str">
        <x:v>2026-09-30</x:v>
      </x:c>
    </x:row>
    <x:row r="27" ht="24" customHeight="1">
      <x:c r="A27" s="13" t="str">
        <x:v>R022</x:v>
      </x:c>
      <x:c r="B27" s="13" t="str">
        <x:v>CNT-022</x:v>
      </x:c>
      <x:c r="C27" s="13" t="str">
        <x:v> belt-b43 </x:v>
      </x:c>
      <x:c r="D27" s="13" t="str">
        <x:v>V-belt B43</x:v>
      </x:c>
      <x:c r="E27" s="13" t="str">
        <x:v> b-06 </x:v>
      </x:c>
      <x:c r="F27" s="13" t="str">
        <x:v>13</x:v>
      </x:c>
      <x:c r="G27" s="13" t="str">
        <x:v>each</x:v>
      </x:c>
      <x:c r="H27" s="13" t="str">
        <x:v>24.2</x:v>
      </x:c>
      <x:c r="I27" s="13" t="str">
        <x:v>30 Sep 2026</x:v>
      </x:c>
    </x:row>
    <x:row r="28" ht="24" customHeight="1">
      <x:c r="A28" s="13" t="str">
        <x:v>R023</x:v>
      </x:c>
      <x:c r="B28" s="13" t="str">
        <x:v>CNT-023</x:v>
      </x:c>
      <x:c r="C28" s="13" t="str">
        <x:v>SEAL-040</x:v>
      </x:c>
      <x:c r="D28" s="13" t="str">
        <x:v>Shaft seal 40 mm</x:v>
      </x:c>
      <x:c r="E28" s="13" t="str">
        <x:v> b-07 </x:v>
      </x:c>
      <x:c r="F28" s="13" t="str">
        <x:v>20</x:v>
      </x:c>
      <x:c r="G28" s="13" t="str">
        <x:v>EA</x:v>
      </x:c>
      <x:c r="H28" s="13" t="str">
        <x:v>8.6</x:v>
      </x:c>
      <x:c r="I28" s="13" t="str">
        <x:v>2026-09-30</x:v>
      </x:c>
    </x:row>
    <x:row r="29" ht="24" customHeight="1">
      <x:c r="A29" s="13" t="str">
        <x:v>R024</x:v>
      </x:c>
      <x:c r="B29" s="13" t="str">
        <x:v>CNT-024</x:v>
      </x:c>
      <x:c r="C29" s="13" t="str">
        <x:v>SEAL-045</x:v>
      </x:c>
      <x:c r="D29" s="13" t="str">
        <x:v>Shaft seal 45 mm</x:v>
      </x:c>
      <x:c r="E29" s="13" t="str">
        <x:v> b-08 </x:v>
      </x:c>
      <x:c r="F29" s="13" t="str">
        <x:v>27</x:v>
      </x:c>
      <x:c r="G29" s="13" t="str">
        <x:v>EA</x:v>
      </x:c>
      <x:c r="H29" s="13" t="str">
        <x:v>9.1</x:v>
      </x:c>
      <x:c r="I29" s="13" t="str">
        <x:v>30 Sep 2026</x:v>
      </x:c>
    </x:row>
    <x:row r="30" ht="24" customHeight="1">
      <x:c r="A30" s="13" t="str">
        <x:v>R025</x:v>
      </x:c>
      <x:c r="B30" s="13" t="str">
        <x:v>CNT-025</x:v>
      </x:c>
      <x:c r="C30" s="13" t="str">
        <x:v> bolt-m12-40 </x:v>
      </x:c>
      <x:c r="D30" s="13" t="str">
        <x:v> Bolt  M12  x  40  mm </x:v>
      </x:c>
      <x:c r="E30" s="13" t="str">
        <x:v> b-09 </x:v>
      </x:c>
      <x:c r="F30" s="13" t="str">
        <x:v>34</x:v>
      </x:c>
      <x:c r="G30" s="13" t="str">
        <x:v>each</x:v>
      </x:c>
      <x:c r="H30" s="13" t="str">
        <x:v>$0.85</x:v>
      </x:c>
      <x:c r="I30" s="13" t="str">
        <x:v>2026-09-30</x:v>
      </x:c>
    </x:row>
    <x:row r="31" ht="24" customHeight="1">
      <x:c r="A31" s="13" t="str">
        <x:v>R026</x:v>
      </x:c>
      <x:c r="B31" s="13" t="str">
        <x:v>CNT-026</x:v>
      </x:c>
      <x:c r="C31" s="13" t="str">
        <x:v>BOLT-M12-50</x:v>
      </x:c>
      <x:c r="D31" s="13" t="str">
        <x:v>Bolt M12 x 50 mm</x:v>
      </x:c>
      <x:c r="E31" s="13" t="str">
        <x:v> b-10 </x:v>
      </x:c>
      <x:c r="F31" s="13" t="str">
        <x:v> 41 </x:v>
      </x:c>
      <x:c r="G31" s="13" t="str">
        <x:v>EA</x:v>
      </x:c>
      <x:c r="H31" s="13" t="str">
        <x:v>0.95</x:v>
      </x:c>
      <x:c r="I31" s="13" t="str">
        <x:v>30 Sep 2026</x:v>
      </x:c>
    </x:row>
    <x:row r="32" ht="24" customHeight="1">
      <x:c r="A32" s="13" t="str">
        <x:v>R027</x:v>
      </x:c>
      <x:c r="B32" s="13" t="str">
        <x:v>CNT-027</x:v>
      </x:c>
      <x:c r="C32" s="13" t="str">
        <x:v>HOSE-038</x:v>
      </x:c>
      <x:c r="D32" s="13" t="str">
        <x:v>Hydraulic hose, 3/8 inch</x:v>
      </x:c>
      <x:c r="E32" s="13" t="str">
        <x:v> b-11 </x:v>
      </x:c>
      <x:c r="F32" s="13" t="str">
        <x:v>25.5</x:v>
      </x:c>
      <x:c r="G32" s="13" t="str">
        <x:v>M</x:v>
      </x:c>
      <x:c r="H32" s="13" t="str">
        <x:v>12.5</x:v>
      </x:c>
      <x:c r="I32" s="13" t="str">
        <x:v>2026-09-30</x:v>
      </x:c>
    </x:row>
    <x:row r="33" ht="24" customHeight="1">
      <x:c r="A33" s="13" t="str">
        <x:v>R028</x:v>
      </x:c>
      <x:c r="B33" s="13" t="str">
        <x:v>CNT-028</x:v>
      </x:c>
      <x:c r="C33" s="13" t="str">
        <x:v> hose-050 </x:v>
      </x:c>
      <x:c r="D33" s="13" t="str">
        <x:v>Hydraulic hose, 1/2 inch</x:v>
      </x:c>
      <x:c r="E33" s="13" t="str">
        <x:v> b-12 </x:v>
      </x:c>
      <x:c r="F33" s="13" t="str">
        <x:v>31</x:v>
      </x:c>
      <x:c r="G33" s="13" t="str">
        <x:v>metres</x:v>
      </x:c>
      <x:c r="H33" s="13" t="str">
        <x:v>15.8</x:v>
      </x:c>
      <x:c r="I33" s="13" t="str">
        <x:v>30 Sep 2026</x:v>
      </x:c>
    </x:row>
    <x:row r="34" ht="24" customHeight="1">
      <x:c r="A34" s="13" t="str">
        <x:v>R029</x:v>
      </x:c>
      <x:c r="B34" s="13" t="str">
        <x:v>CNT-029</x:v>
      </x:c>
      <x:c r="C34" s="13" t="str">
        <x:v>GREASE-EP2</x:v>
      </x:c>
      <x:c r="D34" s="13" t="str">
        <x:v> EP2  grease </x:v>
      </x:c>
      <x:c r="E34" s="13" t="str">
        <x:v> b-13 </x:v>
      </x:c>
      <x:c r="F34" s="13" t="str">
        <x:v>36.5</x:v>
      </x:c>
      <x:c r="G34" s="13" t="str">
        <x:v>KG</x:v>
      </x:c>
      <x:c r="H34" s="13" t="str">
        <x:v>$7.90</x:v>
      </x:c>
      <x:c r="I34" s="13" t="str">
        <x:v>2026-09-30</x:v>
      </x:c>
    </x:row>
    <x:row r="35" ht="24" customHeight="1">
      <x:c r="A35" s="13" t="str">
        <x:v>R030</x:v>
      </x:c>
      <x:c r="B35" s="13" t="str">
        <x:v>CNT-030</x:v>
      </x:c>
      <x:c r="C35" s="13" t="str">
        <x:v>OIL-ISO46</x:v>
      </x:c>
      <x:c r="D35" s="13" t="str">
        <x:v>Hydraulic oil ISO 46</x:v>
      </x:c>
      <x:c r="E35" s="13" t="str">
        <x:v> b-14 </x:v>
      </x:c>
      <x:c r="F35" s="13" t="str">
        <x:v>42</x:v>
      </x:c>
      <x:c r="G35" s="13" t="str">
        <x:v>L</x:v>
      </x:c>
      <x:c r="H35" s="13" t="str">
        <x:v>5.6</x:v>
      </x:c>
      <x:c r="I35" s="13" t="str">
        <x:v>30 Sep 2026</x:v>
      </x:c>
    </x:row>
    <x:row r="36" ht="24" customHeight="1">
      <x:c r="A36" s="13" t="str">
        <x:v>R031</x:v>
      </x:c>
      <x:c r="B36" s="13" t="str">
        <x:v>CNT-031</x:v>
      </x:c>
      <x:c r="C36" s="13" t="str">
        <x:v> 00127 </x:v>
      </x:c>
      <x:c r="D36" s="13" t="str">
        <x:v>Conveyor scraper insert, type A</x:v>
      </x:c>
      <x:c r="E36" s="13" t="str">
        <x:v> b-15 </x:v>
      </x:c>
      <x:c r="F36" s="13" t="str">
        <x:v> 31 </x:v>
      </x:c>
      <x:c r="G36" s="13" t="str">
        <x:v>each</x:v>
      </x:c>
      <x:c r="H36" s="13" t="str">
        <x:v>31</x:v>
      </x:c>
      <x:c r="I36" s="13" t="str">
        <x:v>2026-09-30</x:v>
      </x:c>
    </x:row>
    <x:row r="37" ht="24" customHeight="1">
      <x:c r="A37" s="13" t="str">
        <x:v>R032</x:v>
      </x:c>
      <x:c r="B37" s="13" t="str">
        <x:v>CNT-032</x:v>
      </x:c>
      <x:c r="C37" s="13" t="str">
        <x:v>127</x:v>
      </x:c>
      <x:c r="D37" s="13" t="str">
        <x:v>Conveyor scraper insert, type B</x:v>
      </x:c>
      <x:c r="E37" s="13" t="str">
        <x:v> b-16 </x:v>
      </x:c>
      <x:c r="F37" s="13" t="str">
        <x:v>38</x:v>
      </x:c>
      <x:c r="G37" s="13" t="str">
        <x:v>EA</x:v>
      </x:c>
      <x:c r="H37" s="13" t="str">
        <x:v>34</x:v>
      </x:c>
      <x:c r="I37" s="13" t="str">
        <x:v>30 Sep 2026</x:v>
      </x:c>
    </x:row>
    <x:row r="38" ht="24" customHeight="1">
      <x:c r="A38" s="13" t="str">
        <x:v>R033</x:v>
      </x:c>
      <x:c r="B38" s="13" t="str">
        <x:v>CNT-033</x:v>
      </x:c>
      <x:c r="C38" s="13" t="str">
        <x:v>BRG-6205-2RS</x:v>
      </x:c>
      <x:c r="D38" s="13" t="str">
        <x:v> Bearing  6205,  rubber  seals </x:v>
      </x:c>
      <x:c r="E38" s="13" t="str">
        <x:v> c-01 </x:v>
      </x:c>
      <x:c r="F38" s="13" t="str">
        <x:v>45</x:v>
      </x:c>
      <x:c r="G38" s="13" t="str">
        <x:v>EA</x:v>
      </x:c>
      <x:c r="H38" s="13" t="str">
        <x:v>$18.50</x:v>
      </x:c>
      <x:c r="I38" s="13" t="str">
        <x:v>2026-09-30</x:v>
      </x:c>
    </x:row>
    <x:row r="39" ht="24" customHeight="1">
      <x:c r="A39" s="13" t="str">
        <x:v>R034</x:v>
      </x:c>
      <x:c r="B39" s="13" t="str">
        <x:v>CNT-034</x:v>
      </x:c>
      <x:c r="C39" s="13" t="str">
        <x:v> brg-6205-zz </x:v>
      </x:c>
      <x:c r="D39" s="13" t="str">
        <x:v>Bearing 6205, metal shields</x:v>
      </x:c>
      <x:c r="E39" s="13" t="str">
        <x:v> c-02 </x:v>
      </x:c>
      <x:c r="F39" s="13" t="str">
        <x:v>7</x:v>
      </x:c>
      <x:c r="G39" s="13" t="str">
        <x:v>each</x:v>
      </x:c>
      <x:c r="H39" s="13" t="str">
        <x:v>16.75</x:v>
      </x:c>
      <x:c r="I39" s="13" t="str">
        <x:v>30 Sep 2026</x:v>
      </x:c>
    </x:row>
    <x:row r="40" ht="24" customHeight="1">
      <x:c r="A40" s="13" t="str">
        <x:v>R035</x:v>
      </x:c>
      <x:c r="B40" s="13" t="str">
        <x:v>CNT-035</x:v>
      </x:c>
      <x:c r="C40" s="13" t="str">
        <x:v>FLT-H100</x:v>
      </x:c>
      <x:c r="D40" s="13" t="str">
        <x:v>Hydraulic return filter H100</x:v>
      </x:c>
      <x:c r="E40" s="13" t="str">
        <x:v> c-03 </x:v>
      </x:c>
      <x:c r="F40" s="13" t="str">
        <x:v>14</x:v>
      </x:c>
      <x:c r="G40" s="13" t="str">
        <x:v>EA</x:v>
      </x:c>
      <x:c r="H40" s="13" t="str">
        <x:v>42</x:v>
      </x:c>
      <x:c r="I40" s="13" t="str">
        <x:v>2026-09-30</x:v>
      </x:c>
    </x:row>
    <x:row r="41" ht="24" customHeight="1">
      <x:c r="A41" s="13" t="str">
        <x:v>R036</x:v>
      </x:c>
      <x:c r="B41" s="13" t="str">
        <x:v>CNT-036</x:v>
      </x:c>
      <x:c r="C41" s="13" t="str">
        <x:v>FLT-H100A</x:v>
      </x:c>
      <x:c r="D41" s="13" t="str">
        <x:v>Hydraulic return filter H100A</x:v>
      </x:c>
      <x:c r="E41" s="13" t="str">
        <x:v> c-04 </x:v>
      </x:c>
      <x:c r="F41" s="13" t="str">
        <x:v> 21 </x:v>
      </x:c>
      <x:c r="G41" s="13" t="str">
        <x:v>EA</x:v>
      </x:c>
      <x:c r="H41" s="13" t="str">
        <x:v>46.8</x:v>
      </x:c>
      <x:c r="I41" s="13" t="str">
        <x:v>30 Sep 2026</x:v>
      </x:c>
    </x:row>
    <x:row r="42" ht="24" customHeight="1">
      <x:c r="A42" s="13" t="str">
        <x:v>R037</x:v>
      </x:c>
      <x:c r="B42" s="13" t="str">
        <x:v>CNT-037</x:v>
      </x:c>
      <x:c r="C42" s="13" t="str">
        <x:v> belt-b42 </x:v>
      </x:c>
      <x:c r="D42" s="13" t="str">
        <x:v> V-belt  B42 </x:v>
      </x:c>
      <x:c r="E42" s="13" t="str">
        <x:v> c-05 </x:v>
      </x:c>
      <x:c r="F42" s="13" t="str">
        <x:v>28</x:v>
      </x:c>
      <x:c r="G42" s="13" t="str">
        <x:v>each</x:v>
      </x:c>
      <x:c r="H42" s="13" t="str">
        <x:v>$23.40</x:v>
      </x:c>
      <x:c r="I42" s="13" t="str">
        <x:v>2026-09-30</x:v>
      </x:c>
    </x:row>
    <x:row r="43" ht="24" customHeight="1">
      <x:c r="A43" s="13" t="str">
        <x:v>R038</x:v>
      </x:c>
      <x:c r="B43" s="13" t="str">
        <x:v>CNT-038</x:v>
      </x:c>
      <x:c r="C43" s="13" t="str">
        <x:v>BELT-B43</x:v>
      </x:c>
      <x:c r="D43" s="13" t="str">
        <x:v>V-belt B43</x:v>
      </x:c>
      <x:c r="E43" s="13" t="str">
        <x:v> c-06 </x:v>
      </x:c>
      <x:c r="F43" s="13" t="str">
        <x:v>35</x:v>
      </x:c>
      <x:c r="G43" s="13" t="str">
        <x:v>EA</x:v>
      </x:c>
      <x:c r="H43" s="13" t="str">
        <x:v>24.2</x:v>
      </x:c>
      <x:c r="I43" s="13" t="str">
        <x:v>30 Sep 2026</x:v>
      </x:c>
    </x:row>
    <x:row r="44" ht="24" customHeight="1">
      <x:c r="A44" s="13" t="str">
        <x:v>R039</x:v>
      </x:c>
      <x:c r="B44" s="13" t="str">
        <x:v>CNT-039</x:v>
      </x:c>
      <x:c r="C44" s="13" t="str">
        <x:v>SEAL-040</x:v>
      </x:c>
      <x:c r="D44" s="13" t="str">
        <x:v>Shaft seal 40 mm</x:v>
      </x:c>
      <x:c r="E44" s="13" t="str">
        <x:v> c-07 </x:v>
      </x:c>
      <x:c r="F44" s="13" t="str">
        <x:v>42</x:v>
      </x:c>
      <x:c r="G44" s="13" t="str">
        <x:v>EA</x:v>
      </x:c>
      <x:c r="H44" s="13" t="str">
        <x:v>8.6</x:v>
      </x:c>
      <x:c r="I44" s="13" t="str">
        <x:v>2026-09-30</x:v>
      </x:c>
    </x:row>
    <x:row r="45" ht="24" customHeight="1">
      <x:c r="A45" s="13" t="str">
        <x:v>R040</x:v>
      </x:c>
      <x:c r="B45" s="13" t="str">
        <x:v>CNT-040</x:v>
      </x:c>
      <x:c r="C45" s="13" t="str">
        <x:v> seal-045 </x:v>
      </x:c>
      <x:c r="D45" s="13" t="str">
        <x:v>Shaft seal 45 mm</x:v>
      </x:c>
      <x:c r="E45" s="13" t="str">
        <x:v> c-08 </x:v>
      </x:c>
      <x:c r="F45" s="13" t="str">
        <x:v>4</x:v>
      </x:c>
      <x:c r="G45" s="13" t="str">
        <x:v>each</x:v>
      </x:c>
      <x:c r="H45" s="13" t="str">
        <x:v>9.1</x:v>
      </x:c>
      <x:c r="I45" s="13" t="str">
        <x:v>30 Sep 2026</x:v>
      </x:c>
    </x:row>
    <x:row r="46" ht="24" customHeight="1">
      <x:c r="A46" s="13" t="str">
        <x:v>R041</x:v>
      </x:c>
      <x:c r="B46" s="13" t="str">
        <x:v>CNT-041</x:v>
      </x:c>
      <x:c r="C46" s="13" t="str">
        <x:v>BOLT-M12-40</x:v>
      </x:c>
      <x:c r="D46" s="13" t="str">
        <x:v> Bolt  M12  x  40  mm </x:v>
      </x:c>
      <x:c r="E46" s="13" t="str">
        <x:v> c-09 </x:v>
      </x:c>
      <x:c r="F46" s="13" t="str">
        <x:v> 11 </x:v>
      </x:c>
      <x:c r="G46" s="13" t="str">
        <x:v>EA</x:v>
      </x:c>
      <x:c r="H46" s="13" t="str">
        <x:v>$0.85</x:v>
      </x:c>
      <x:c r="I46" s="13" t="str">
        <x:v>2026-09-30</x:v>
      </x:c>
    </x:row>
    <x:row r="47" ht="24" customHeight="1">
      <x:c r="A47" s="13" t="str">
        <x:v>R042</x:v>
      </x:c>
      <x:c r="B47" s="13" t="str">
        <x:v>CNT-042</x:v>
      </x:c>
      <x:c r="C47" s="13" t="str">
        <x:v>BOLT-M12-50</x:v>
      </x:c>
      <x:c r="D47" s="13" t="str">
        <x:v>Bolt M12 x 50 mm</x:v>
      </x:c>
      <x:c r="E47" s="13" t="str">
        <x:v> c-10 </x:v>
      </x:c>
      <x:c r="F47" s="13" t="str">
        <x:v>18</x:v>
      </x:c>
      <x:c r="G47" s="13" t="str">
        <x:v>EA</x:v>
      </x:c>
      <x:c r="H47" s="13" t="str">
        <x:v>0.95</x:v>
      </x:c>
      <x:c r="I47" s="13" t="str">
        <x:v>30 Sep 2026</x:v>
      </x:c>
    </x:row>
    <x:row r="48" ht="24" customHeight="1">
      <x:c r="A48" s="13" t="str">
        <x:v>R043</x:v>
      </x:c>
      <x:c r="B48" s="13" t="str">
        <x:v>CNT-043</x:v>
      </x:c>
      <x:c r="C48" s="13" t="str">
        <x:v> hose-038 </x:v>
      </x:c>
      <x:c r="D48" s="13" t="str">
        <x:v>Hydraulic hose, 3/8 inch</x:v>
      </x:c>
      <x:c r="E48" s="13" t="str">
        <x:v> c-11 </x:v>
      </x:c>
      <x:c r="F48" s="13" t="str">
        <x:v>33.5</x:v>
      </x:c>
      <x:c r="G48" s="13" t="str">
        <x:v>metres</x:v>
      </x:c>
      <x:c r="H48" s="13" t="str">
        <x:v>12.5</x:v>
      </x:c>
      <x:c r="I48" s="13" t="str">
        <x:v>2026-09-30</x:v>
      </x:c>
    </x:row>
    <x:row r="49" ht="24" customHeight="1">
      <x:c r="A49" s="13" t="str">
        <x:v>R044</x:v>
      </x:c>
      <x:c r="B49" s="13" t="str">
        <x:v>CNT-044</x:v>
      </x:c>
      <x:c r="C49" s="13" t="str">
        <x:v>HOSE-050</x:v>
      </x:c>
      <x:c r="D49" s="13" t="str">
        <x:v>Hydraulic hose, 1/2 inch</x:v>
      </x:c>
      <x:c r="E49" s="13" t="str">
        <x:v> c-12 </x:v>
      </x:c>
      <x:c r="F49" s="13" t="str">
        <x:v>39</x:v>
      </x:c>
      <x:c r="G49" s="13" t="str">
        <x:v>M</x:v>
      </x:c>
      <x:c r="H49" s="13" t="str">
        <x:v>15.8</x:v>
      </x:c>
      <x:c r="I49" s="13" t="str">
        <x:v>30 Sep 2026</x:v>
      </x:c>
    </x:row>
    <x:row r="50" ht="24" customHeight="1">
      <x:c r="A50" s="13" t="str">
        <x:v>R045</x:v>
      </x:c>
      <x:c r="B50" s="13" t="str">
        <x:v>CNT-045</x:v>
      </x:c>
      <x:c r="C50" s="13" t="str">
        <x:v>GREASE-EP2</x:v>
      </x:c>
      <x:c r="D50" s="13" t="str">
        <x:v> EP2  grease </x:v>
      </x:c>
      <x:c r="E50" s="13" t="str">
        <x:v> c-13 </x:v>
      </x:c>
      <x:c r="F50" s="13" t="str">
        <x:v>4.5</x:v>
      </x:c>
      <x:c r="G50" s="13" t="str">
        <x:v>KG</x:v>
      </x:c>
      <x:c r="H50" s="13" t="str">
        <x:v>$7.90</x:v>
      </x:c>
      <x:c r="I50" s="13" t="str">
        <x:v>2026-09-30</x:v>
      </x:c>
    </x:row>
    <x:row r="51" ht="24" customHeight="1">
      <x:c r="A51" s="13" t="str">
        <x:v>R046</x:v>
      </x:c>
      <x:c r="B51" s="13" t="str">
        <x:v>CNT-046</x:v>
      </x:c>
      <x:c r="C51" s="13" t="str">
        <x:v> oil-iso46 </x:v>
      </x:c>
      <x:c r="D51" s="13" t="str">
        <x:v>Hydraulic oil ISO 46</x:v>
      </x:c>
      <x:c r="E51" s="13" t="str">
        <x:v> c-14 </x:v>
      </x:c>
      <x:c r="F51" s="13" t="str">
        <x:v> 10 </x:v>
      </x:c>
      <x:c r="G51" s="13" t="str">
        <x:v>litres</x:v>
      </x:c>
      <x:c r="H51" s="13" t="str">
        <x:v>5.6</x:v>
      </x:c>
      <x:c r="I51" s="13" t="str">
        <x:v>30 Sep 2026</x:v>
      </x:c>
    </x:row>
    <x:row r="52" ht="24" customHeight="1">
      <x:c r="A52" s="13" t="str">
        <x:v>R047</x:v>
      </x:c>
      <x:c r="B52" s="13" t="str">
        <x:v>CNT-047</x:v>
      </x:c>
      <x:c r="C52" s="13" t="str">
        <x:v>00127</x:v>
      </x:c>
      <x:c r="D52" s="13" t="str">
        <x:v>Conveyor scraper insert, type A</x:v>
      </x:c>
      <x:c r="E52" s="13" t="str">
        <x:v> c-15 </x:v>
      </x:c>
      <x:c r="F52" s="13" t="str">
        <x:v>8</x:v>
      </x:c>
      <x:c r="G52" s="13" t="str">
        <x:v>EA</x:v>
      </x:c>
      <x:c r="H52" s="13" t="str">
        <x:v>31</x:v>
      </x:c>
      <x:c r="I52" s="13" t="str">
        <x:v>2026-09-30</x:v>
      </x:c>
    </x:row>
    <x:row r="53" ht="24" customHeight="1">
      <x:c r="A53" s="13" t="str">
        <x:v>R048</x:v>
      </x:c>
      <x:c r="B53" s="13" t="str">
        <x:v>CNT-048</x:v>
      </x:c>
      <x:c r="C53" s="13" t="str">
        <x:v>127</x:v>
      </x:c>
      <x:c r="D53" s="13" t="str">
        <x:v>Conveyor scraper insert, type B</x:v>
      </x:c>
      <x:c r="E53" s="13" t="str">
        <x:v> c-16 </x:v>
      </x:c>
      <x:c r="F53" s="13" t="str">
        <x:v>15</x:v>
      </x:c>
      <x:c r="G53" s="13" t="str">
        <x:v>EA</x:v>
      </x:c>
      <x:c r="H53" s="13" t="str">
        <x:v>34</x:v>
      </x:c>
      <x:c r="I53" s="13" t="str">
        <x:v>30 Sep 2026</x:v>
      </x:c>
    </x:row>
    <x:row r="54" ht="24" customHeight="1">
      <x:c r="A54" s="13" t="str">
        <x:v>R049</x:v>
      </x:c>
      <x:c r="B54" s="13" t="str">
        <x:v>CNT-049</x:v>
      </x:c>
      <x:c r="C54" s="13" t="str">
        <x:v>FLT-H100</x:v>
      </x:c>
      <x:c r="D54" s="13" t="str">
        <x:v>Hydraulic return filter H100</x:v>
      </x:c>
      <x:c r="E54" s="13" t="str">
        <x:v>D-01</x:v>
      </x:c>
      <x:c r="F54" s="13" t="str">
        <x:v>12?</x:v>
      </x:c>
      <x:c r="G54" s="13" t="str">
        <x:v>EA</x:v>
      </x:c>
      <x:c r="H54" s="13" t="str">
        <x:v>42</x:v>
      </x:c>
      <x:c r="I54" s="13" t="str">
        <x:v>2026-09-30</x:v>
      </x:c>
    </x:row>
    <x:row r="55" ht="24" customHeight="1">
      <x:c r="A55" s="13" t="str">
        <x:v>R050</x:v>
      </x:c>
      <x:c r="B55" s="13" t="str">
        <x:v>CNT-050</x:v>
      </x:c>
      <x:c r="C55" s="13" t="str">
        <x:v>BOLT-M12-40</x:v>
      </x:c>
      <x:c r="D55" s="13" t="str">
        <x:v>Bolt M12 x 40 mm</x:v>
      </x:c>
      <x:c r="E55" s="13" t="str">
        <x:v>D-02</x:v>
      </x:c>
      <x:c r="F55" s="13" t="str">
        <x:v>2</x:v>
      </x:c>
      <x:c r="G55" s="13" t="str">
        <x:v>BOX</x:v>
      </x:c>
      <x:c r="H55" s="13" t="str">
        <x:v>0.85</x:v>
      </x:c>
      <x:c r="I55" s="13" t="str">
        <x:v>2026-09-30</x:v>
      </x:c>
    </x:row>
    <x:row r="56" ht="24" customHeight="1">
      <x:c r="A56" s="13" t="str">
        <x:v>R051</x:v>
      </x:c>
      <x:c r="B56" s="13" t="str">
        <x:v>CNT-051</x:v>
      </x:c>
      <x:c r="C56" s="13" t="str">
        <x:v>SEAL-040</x:v>
      </x:c>
      <x:c r="D56" s="13" t="str">
        <x:v>Shaft seal 40 mm</x:v>
      </x:c>
      <x:c r="E56" s="13" t="str">
        <x:v>D-03</x:v>
      </x:c>
      <x:c r="F56" s="13" t="str">
        <x:v>7</x:v>
      </x:c>
      <x:c r="G56" s="13" t="str">
        <x:v>EA</x:v>
      </x:c>
      <x:c r="H56" s="13" t="str">
        <x:v>8.6</x:v>
      </x:c>
      <x:c r="I56" s="13" t="str">
        <x:v>09/10/2026</x:v>
      </x:c>
    </x:row>
    <x:row r="57" ht="24" customHeight="1">
      <x:c r="A57" s="13" t="str">
        <x:v>R052</x:v>
      </x:c>
      <x:c r="B57" s="13" t="str">
        <x:v>CNT-052</x:v>
      </x:c>
      <x:c r="C57" s="13" t="str">
        <x:v>OIL-ISO46</x:v>
      </x:c>
      <x:c r="D57" s="13" t="str">
        <x:v>Hydraulic oil ISO 46</x:v>
      </x:c>
      <x:c r="E57" s="13" t="str">
        <x:v>D-04</x:v>
      </x:c>
      <x:c r="F57" s="13" t="str">
        <x:v>-8</x:v>
      </x:c>
      <x:c r="G57" s="13" t="str">
        <x:v>L</x:v>
      </x:c>
      <x:c r="H57" s="13" t="str">
        <x:v>5.6</x:v>
      </x:c>
      <x:c r="I57" s="13" t="str">
        <x:v>2026-09-30</x:v>
      </x:c>
    </x:row>
    <x:row r="58" ht="24" customHeight="1">
      <x:c r="A58" s="13" t="str">
        <x:v>R053</x:v>
      </x:c>
      <x:c r="B58" s="13" t="str">
        <x:v>CNT-053</x:v>
      </x:c>
      <x:c r="C58" s="13" t="str">
        <x:v>00127</x:v>
      </x:c>
      <x:c r="D58" s="13" t="str">
        <x:v>Conveyor scraper insert, type A</x:v>
      </x:c>
      <x:c r="E58" s="13" t="str">
        <x:v>D-05</x:v>
      </x:c>
      <x:c r="F58" s="13" t="str">
        <x:v>4</x:v>
      </x:c>
      <x:c r="G58" s="13" t="str">
        <x:v>EA</x:v>
      </x:c>
      <x:c r="H58" s="13" t="str"/>
      <x:c r="I58" s="13" t="str">
        <x:v>2026-09-30</x:v>
      </x:c>
    </x:row>
    <x:row r="59" ht="24" customHeight="1">
      <x:c r="A59" s="13" t="str">
        <x:v>R054</x:v>
      </x:c>
      <x:c r="B59" s="13" t="str">
        <x:v>CNT-054</x:v>
      </x:c>
      <x:c r="C59" s="13" t="str"/>
      <x:c r="D59" s="13" t="str">
        <x:v>Bearing 6205</x:v>
      </x:c>
      <x:c r="E59" s="13" t="str">
        <x:v>D-06</x:v>
      </x:c>
      <x:c r="F59" s="13" t="str">
        <x:v>6</x:v>
      </x:c>
      <x:c r="G59" s="13" t="str">
        <x:v>EA</x:v>
      </x:c>
      <x:c r="H59" s="13" t="str">
        <x:v>18.5</x:v>
      </x:c>
      <x:c r="I59" s="13" t="str">
        <x:v>2026-09-30</x:v>
      </x:c>
    </x:row>
    <x:row r="60" ht="24" customHeight="1">
      <x:c r="A60" s="13" t="str">
        <x:v>R055</x:v>
      </x:c>
      <x:c r="B60" s="13" t="str">
        <x:v>CNT-055</x:v>
      </x:c>
      <x:c r="C60" s="13" t="str">
        <x:v>BRG-6205-ZZ</x:v>
      </x:c>
      <x:c r="D60" s="13" t="str">
        <x:v>Bearing 6205, rubber seals</x:v>
      </x:c>
      <x:c r="E60" s="13" t="str">
        <x:v>D-07</x:v>
      </x:c>
      <x:c r="F60" s="13" t="str">
        <x:v>5</x:v>
      </x:c>
      <x:c r="G60" s="13" t="str">
        <x:v>EA</x:v>
      </x:c>
      <x:c r="H60" s="13" t="str">
        <x:v>16.75</x:v>
      </x:c>
      <x:c r="I60" s="13" t="str">
        <x:v>2026-09-30</x:v>
      </x:c>
    </x:row>
    <x:row r="61" ht="24" customHeight="1">
      <x:c r="A61" s="13" t="str">
        <x:v>R056</x:v>
      </x:c>
      <x:c r="B61" s="13" t="str">
        <x:v>CNT-056</x:v>
      </x:c>
      <x:c r="C61" s="13" t="str">
        <x:v>HOSE-050</x:v>
      </x:c>
      <x:c r="D61" s="13" t="str">
        <x:v>Hydraulic hose, 1/2 inch</x:v>
      </x:c>
      <x:c r="E61" s="13" t="str">
        <x:v>D-08</x:v>
      </x:c>
      <x:c r="F61" s="13" t="str">
        <x:v>20</x:v>
      </x:c>
      <x:c r="G61" s="13" t="str">
        <x:v>M</x:v>
      </x:c>
      <x:c r="H61" s="13" t="str">
        <x:v>15.8</x:v>
      </x:c>
      <x:c r="I61" s="13" t="str">
        <x:v>2026-02-30</x:v>
      </x:c>
    </x:row>
    <x:row r="62" ht="24" customHeight="1">
      <x:c r="A62" s="13" t="str">
        <x:v>R057</x:v>
      </x:c>
      <x:c r="B62" s="13" t="str">
        <x:v>CNT-057</x:v>
      </x:c>
      <x:c r="C62" s="13" t="str">
        <x:v>BELT-B42</x:v>
      </x:c>
      <x:c r="D62" s="13" t="str">
        <x:v>V-belt B42</x:v>
      </x:c>
      <x:c r="E62" s="13" t="str">
        <x:v>D-09</x:v>
      </x:c>
      <x:c r="F62" s="13" t="str">
        <x:v>7</x:v>
      </x:c>
      <x:c r="G62" s="13" t="str">
        <x:v>EA</x:v>
      </x:c>
      <x:c r="H62" s="13" t="str">
        <x:v>23.4</x:v>
      </x:c>
      <x:c r="I62" s="13" t="str">
        <x:v>2026-09-30</x:v>
      </x:c>
    </x:row>
    <x:row r="63" ht="24" customHeight="1">
      <x:c r="A63" s="13" t="str">
        <x:v>R058</x:v>
      </x:c>
      <x:c r="B63" s="13" t="str">
        <x:v>CNT-058</x:v>
      </x:c>
      <x:c r="C63" s="13" t="str">
        <x:v>BELT-B42</x:v>
      </x:c>
      <x:c r="D63" s="13" t="str">
        <x:v>V-belt B42</x:v>
      </x:c>
      <x:c r="E63" s="13" t="str">
        <x:v>D-09</x:v>
      </x:c>
      <x:c r="F63" s="13" t="str">
        <x:v>11</x:v>
      </x:c>
      <x:c r="G63" s="13" t="str">
        <x:v>EA</x:v>
      </x:c>
      <x:c r="H63" s="13" t="str">
        <x:v>23.4</x:v>
      </x:c>
      <x:c r="I63" s="13" t="str">
        <x:v>2026-09-30</x:v>
      </x:c>
    </x:row>
    <x:row r="64" ht="24" customHeight="1">
      <x:c r="A64" s="13" t="str">
        <x:v>R059</x:v>
      </x:c>
      <x:c r="B64" s="13" t="str">
        <x:v>CNT-005</x:v>
      </x:c>
      <x:c r="C64" s="13" t="str">
        <x:v>BELT-B42</x:v>
      </x:c>
      <x:c r="D64" s="13" t="str">
        <x:v> V-belt  B42 </x:v>
      </x:c>
      <x:c r="E64" s="13" t="str">
        <x:v> a-05 </x:v>
      </x:c>
      <x:c r="F64" s="13" t="str">
        <x:v>29</x:v>
      </x:c>
      <x:c r="G64" s="13" t="str">
        <x:v>EA</x:v>
      </x:c>
      <x:c r="H64" s="13" t="str">
        <x:v>$23.40</x:v>
      </x:c>
      <x:c r="I64" s="13" t="str">
        <x:v>2026-09-30</x:v>
      </x:c>
    </x:row>
    <x:row r="65" ht="24" customHeight="1">
      <x:c r="A65" s="13" t="str">
        <x:v>R060</x:v>
      </x:c>
      <x:c r="B65" s="13" t="str">
        <x:v>CNT-020</x:v>
      </x:c>
      <x:c r="C65" s="13" t="str">
        <x:v>FLT-H100A</x:v>
      </x:c>
      <x:c r="D65" s="13" t="str">
        <x:v>Hydraulic return filter H100A</x:v>
      </x:c>
      <x:c r="E65" s="13" t="str">
        <x:v> b-04 </x:v>
      </x:c>
      <x:c r="F65" s="13" t="str">
        <x:v>44</x:v>
      </x:c>
      <x:c r="G65" s="13" t="str">
        <x:v>EA</x:v>
      </x:c>
      <x:c r="H65" s="13" t="str">
        <x:v>46.8</x:v>
      </x:c>
      <x:c r="I65" s="13" t="str">
        <x:v>30 Sep 2026</x:v>
      </x:c>
    </x:row>
  </x:sheetData>
  <x:pageMargins left="0.7" right="0.7" top="0.75" bottom="0.75" header="0.3" footer="0.3"/>
  <x:tableParts count="1">
    <x:tablePart xmlns:r="http://schemas.openxmlformats.org/officeDocument/2006/relationships" r:id="R21d4a8f063dd4a59"/>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3" hidden="0" customWidth="1"/>
    <x:col min="2" max="2" width="48" hidden="0" customWidth="1"/>
    <x:col min="3" max="3" width="20" hidden="0" customWidth="1"/>
    <x:col min="4" max="4" width="24" hidden="0" customWidth="1"/>
  </x:cols>
  <x:sheetData>
    <x:row r="1" ht="24" customHeight="1">
      <x:c r="A1" s="2"/>
      <x:c r="B1" s="2"/>
      <x:c r="C1" s="2"/>
      <x:c r="D1" s="2"/>
    </x:row>
    <x:row r="2" ht="24" customHeight="1">
      <x:c r="A2" s="7" t="str">
        <x:v>Fictional part reference</x:v>
      </x:c>
      <x:c r="B2" s="2"/>
      <x:c r="C2" s="2"/>
      <x:c r="D2" s="2"/>
    </x:row>
    <x:row r="3" ht="24" customHeight="1">
      <x:c r="A3" s="8" t="str">
        <x:v>Authored reference for this demonstration. Similar part codes are distinct. Reference costs never fill missing source costs.</x:v>
      </x:c>
      <x:c r="B3" s="2"/>
      <x:c r="C3" s="2"/>
      <x:c r="D3" s="2"/>
    </x:row>
    <x:row r="4" ht="24" customHeight="1">
      <x:c r="A4" s="2"/>
      <x:c r="B4" s="2"/>
      <x:c r="C4" s="2"/>
      <x:c r="D4" s="2"/>
    </x:row>
    <x:row r="5" ht="34" customHeight="1">
      <x:c r="A5" s="6" t="str">
        <x:v>SKU</x:v>
      </x:c>
      <x:c r="B5" s="6" t="str">
        <x:v>Canonical description</x:v>
      </x:c>
      <x:c r="C5" s="6" t="str">
        <x:v>Stock UOM</x:v>
      </x:c>
      <x:c r="D5" s="6" t="str">
        <x:v>Reference cost USD</x:v>
      </x:c>
    </x:row>
    <x:row r="6" ht="24" customHeight="1">
      <x:c r="A6" s="13" t="str">
        <x:v>BRG-6205-2RS</x:v>
      </x:c>
      <x:c r="B6" s="2" t="str">
        <x:v>Bearing 6205, rubber seals</x:v>
      </x:c>
      <x:c r="C6" s="2" t="str">
        <x:v>EA</x:v>
      </x:c>
      <x:c r="D6" s="10" t="n">
        <x:v>18.5</x:v>
      </x:c>
    </x:row>
    <x:row r="7" ht="24" customHeight="1">
      <x:c r="A7" s="13" t="str">
        <x:v>BRG-6205-ZZ</x:v>
      </x:c>
      <x:c r="B7" s="2" t="str">
        <x:v>Bearing 6205, metal shields</x:v>
      </x:c>
      <x:c r="C7" s="2" t="str">
        <x:v>EA</x:v>
      </x:c>
      <x:c r="D7" s="10" t="n">
        <x:v>16.75</x:v>
      </x:c>
    </x:row>
    <x:row r="8" ht="24" customHeight="1">
      <x:c r="A8" s="13" t="str">
        <x:v>FLT-H100</x:v>
      </x:c>
      <x:c r="B8" s="2" t="str">
        <x:v>Hydraulic return filter H100</x:v>
      </x:c>
      <x:c r="C8" s="2" t="str">
        <x:v>EA</x:v>
      </x:c>
      <x:c r="D8" s="10" t="n">
        <x:v>42</x:v>
      </x:c>
    </x:row>
    <x:row r="9" ht="24" customHeight="1">
      <x:c r="A9" s="13" t="str">
        <x:v>FLT-H100A</x:v>
      </x:c>
      <x:c r="B9" s="2" t="str">
        <x:v>Hydraulic return filter H100A</x:v>
      </x:c>
      <x:c r="C9" s="2" t="str">
        <x:v>EA</x:v>
      </x:c>
      <x:c r="D9" s="10" t="n">
        <x:v>46.8</x:v>
      </x:c>
    </x:row>
    <x:row r="10" ht="24" customHeight="1">
      <x:c r="A10" s="13" t="str">
        <x:v>BELT-B42</x:v>
      </x:c>
      <x:c r="B10" s="2" t="str">
        <x:v>V-belt B42</x:v>
      </x:c>
      <x:c r="C10" s="2" t="str">
        <x:v>EA</x:v>
      </x:c>
      <x:c r="D10" s="10" t="n">
        <x:v>23.4</x:v>
      </x:c>
    </x:row>
    <x:row r="11" ht="24" customHeight="1">
      <x:c r="A11" s="13" t="str">
        <x:v>BELT-B43</x:v>
      </x:c>
      <x:c r="B11" s="2" t="str">
        <x:v>V-belt B43</x:v>
      </x:c>
      <x:c r="C11" s="2" t="str">
        <x:v>EA</x:v>
      </x:c>
      <x:c r="D11" s="10" t="n">
        <x:v>24.2</x:v>
      </x:c>
    </x:row>
    <x:row r="12" ht="24" customHeight="1">
      <x:c r="A12" s="13" t="str">
        <x:v>SEAL-040</x:v>
      </x:c>
      <x:c r="B12" s="2" t="str">
        <x:v>Shaft seal 40 mm</x:v>
      </x:c>
      <x:c r="C12" s="2" t="str">
        <x:v>EA</x:v>
      </x:c>
      <x:c r="D12" s="10" t="n">
        <x:v>8.6</x:v>
      </x:c>
    </x:row>
    <x:row r="13" ht="24" customHeight="1">
      <x:c r="A13" s="13" t="str">
        <x:v>SEAL-045</x:v>
      </x:c>
      <x:c r="B13" s="2" t="str">
        <x:v>Shaft seal 45 mm</x:v>
      </x:c>
      <x:c r="C13" s="2" t="str">
        <x:v>EA</x:v>
      </x:c>
      <x:c r="D13" s="10" t="n">
        <x:v>9.1</x:v>
      </x:c>
    </x:row>
    <x:row r="14" ht="24" customHeight="1">
      <x:c r="A14" s="13" t="str">
        <x:v>BOLT-M12-40</x:v>
      </x:c>
      <x:c r="B14" s="2" t="str">
        <x:v>Bolt M12 x 40 mm</x:v>
      </x:c>
      <x:c r="C14" s="2" t="str">
        <x:v>EA</x:v>
      </x:c>
      <x:c r="D14" s="10" t="n">
        <x:v>0.85</x:v>
      </x:c>
    </x:row>
    <x:row r="15" ht="24" customHeight="1">
      <x:c r="A15" s="13" t="str">
        <x:v>BOLT-M12-50</x:v>
      </x:c>
      <x:c r="B15" s="2" t="str">
        <x:v>Bolt M12 x 50 mm</x:v>
      </x:c>
      <x:c r="C15" s="2" t="str">
        <x:v>EA</x:v>
      </x:c>
      <x:c r="D15" s="10" t="n">
        <x:v>0.95</x:v>
      </x:c>
    </x:row>
    <x:row r="16" ht="24" customHeight="1">
      <x:c r="A16" s="13" t="str">
        <x:v>HOSE-038</x:v>
      </x:c>
      <x:c r="B16" s="2" t="str">
        <x:v>Hydraulic hose, 3/8 inch</x:v>
      </x:c>
      <x:c r="C16" s="2" t="str">
        <x:v>M</x:v>
      </x:c>
      <x:c r="D16" s="10" t="n">
        <x:v>12.5</x:v>
      </x:c>
    </x:row>
    <x:row r="17" ht="24" customHeight="1">
      <x:c r="A17" s="13" t="str">
        <x:v>HOSE-050</x:v>
      </x:c>
      <x:c r="B17" s="2" t="str">
        <x:v>Hydraulic hose, 1/2 inch</x:v>
      </x:c>
      <x:c r="C17" s="2" t="str">
        <x:v>M</x:v>
      </x:c>
      <x:c r="D17" s="10" t="n">
        <x:v>15.8</x:v>
      </x:c>
    </x:row>
    <x:row r="18" ht="24" customHeight="1">
      <x:c r="A18" s="13" t="str">
        <x:v>GREASE-EP2</x:v>
      </x:c>
      <x:c r="B18" s="2" t="str">
        <x:v>EP2 grease</x:v>
      </x:c>
      <x:c r="C18" s="2" t="str">
        <x:v>KG</x:v>
      </x:c>
      <x:c r="D18" s="10" t="n">
        <x:v>7.9</x:v>
      </x:c>
    </x:row>
    <x:row r="19" ht="24" customHeight="1">
      <x:c r="A19" s="13" t="str">
        <x:v>OIL-ISO46</x:v>
      </x:c>
      <x:c r="B19" s="2" t="str">
        <x:v>Hydraulic oil ISO 46</x:v>
      </x:c>
      <x:c r="C19" s="2" t="str">
        <x:v>L</x:v>
      </x:c>
      <x:c r="D19" s="10" t="n">
        <x:v>5.6</x:v>
      </x:c>
    </x:row>
    <x:row r="20" ht="24" customHeight="1">
      <x:c r="A20" s="13" t="str">
        <x:v>00127</x:v>
      </x:c>
      <x:c r="B20" s="2" t="str">
        <x:v>Conveyor scraper insert, type A</x:v>
      </x:c>
      <x:c r="C20" s="2" t="str">
        <x:v>EA</x:v>
      </x:c>
      <x:c r="D20" s="10" t="n">
        <x:v>31</x:v>
      </x:c>
    </x:row>
    <x:row r="21" ht="24" customHeight="1">
      <x:c r="A21" s="13" t="str">
        <x:v>127</x:v>
      </x:c>
      <x:c r="B21" s="2" t="str">
        <x:v>Conveyor scraper insert, type B</x:v>
      </x:c>
      <x:c r="C21" s="2" t="str">
        <x:v>EA</x:v>
      </x:c>
      <x:c r="D21" s="10" t="n">
        <x:v>34</x:v>
      </x:c>
    </x:row>
  </x:sheetData>
  <x:pageMargins left="0.7" right="0.7" top="0.75" bottom="0.75" header="0.3" footer="0.3"/>
  <x:tableParts count="1">
    <x:tablePart xmlns:r="http://schemas.openxmlformats.org/officeDocument/2006/relationships" r:id="R75c688ef3e684cdb"/>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6" hidden="0" customWidth="1"/>
    <x:col min="2" max="2" width="15" hidden="0" customWidth="1"/>
    <x:col min="3" max="3" width="24" hidden="0" customWidth="1"/>
    <x:col min="4" max="4" width="49" hidden="0" customWidth="1"/>
    <x:col min="5" max="5" width="49" hidden="0" customWidth="1"/>
    <x:col min="6" max="6" width="20" hidden="0" customWidth="1"/>
    <x:col min="7" max="7" width="95" hidden="0" customWidth="1"/>
  </x:cols>
  <x:sheetData>
    <x:row r="1" ht="24" customHeight="1">
      <x:c r="A1" s="2"/>
      <x:c r="B1" s="2"/>
      <x:c r="C1" s="2"/>
      <x:c r="D1" s="2"/>
      <x:c r="E1" s="2"/>
      <x:c r="F1" s="2"/>
      <x:c r="G1" s="2"/>
    </x:row>
    <x:row r="2" ht="24" customHeight="1">
      <x:c r="A2" s="7" t="str">
        <x:v>Field-level change history</x:v>
      </x:c>
      <x:c r="B2" s="2"/>
      <x:c r="C2" s="2"/>
      <x:c r="D2" s="2"/>
      <x:c r="E2" s="2"/>
      <x:c r="F2" s="2"/>
      <x:c r="G2" s="2"/>
    </x:row>
    <x:row r="3" ht="24" customHeight="1">
      <x:c r="A3" s="8" t="str">
        <x:v>One entry per changed field or disposition. [withheld] means a blank in Cleaned. This log describes the original rescue run.</x:v>
      </x:c>
      <x:c r="B3" s="2"/>
      <x:c r="C3" s="2"/>
      <x:c r="D3" s="2"/>
      <x:c r="E3" s="2"/>
      <x:c r="F3" s="2"/>
      <x:c r="G3" s="2"/>
    </x:row>
    <x:row r="4" ht="24" customHeight="1">
      <x:c r="A4" s="2"/>
      <x:c r="B4" s="2"/>
      <x:c r="C4" s="2"/>
      <x:c r="D4" s="2"/>
      <x:c r="E4" s="2"/>
      <x:c r="F4" s="2"/>
      <x:c r="G4" s="2"/>
    </x:row>
    <x:row r="5" ht="34" customHeight="1">
      <x:c r="A5" s="6" t="str">
        <x:v>Change ID</x:v>
      </x:c>
      <x:c r="B5" s="6" t="str">
        <x:v>Record ID</x:v>
      </x:c>
      <x:c r="C5" s="6" t="str">
        <x:v>Field</x:v>
      </x:c>
      <x:c r="D5" s="6" t="str">
        <x:v>Before (text)</x:v>
      </x:c>
      <x:c r="E5" s="6" t="str">
        <x:v>After (text)</x:v>
      </x:c>
      <x:c r="F5" s="6" t="str">
        <x:v>Action</x:v>
      </x:c>
      <x:c r="G5" s="6" t="str">
        <x:v>Rule / reason</x:v>
      </x:c>
    </x:row>
    <x:row r="6" ht="44" customHeight="1">
      <x:c r="A6" s="2" t="str">
        <x:v>A0001</x:v>
      </x:c>
      <x:c r="B6" s="2" t="str">
        <x:v>R001</x:v>
      </x:c>
      <x:c r="C6" s="2" t="str">
        <x:v>SKU</x:v>
      </x:c>
      <x:c r="D6" s="16" t="str">
        <x:v> brg-6205-2rs </x:v>
      </x:c>
      <x:c r="E6" s="16" t="str">
        <x:v>BRG-6205-2RS</x:v>
      </x:c>
      <x:c r="F6" s="14" t="str">
        <x:v>Normalized</x:v>
      </x:c>
      <x:c r="G6" s="14" t="str">
        <x:v>Trim whitespace and uppercase only. Punctuation and leading zeros retained.</x:v>
      </x:c>
    </x:row>
    <x:row r="7" ht="44" customHeight="1">
      <x:c r="A7" s="2" t="str">
        <x:v>A0002</x:v>
      </x:c>
      <x:c r="B7" s="2" t="str">
        <x:v>R001</x:v>
      </x:c>
      <x:c r="C7" s="2" t="str">
        <x:v>Description</x:v>
      </x:c>
      <x:c r="D7" s="16" t="str">
        <x:v> Bearing  6205,  rubber  seals </x:v>
      </x:c>
      <x:c r="E7" s="16" t="str">
        <x:v>Bearing 6205, rubber seals</x:v>
      </x:c>
      <x:c r="F7" s="14" t="str">
        <x:v>Normalized</x:v>
      </x:c>
      <x:c r="G7" s="14" t="str">
        <x:v>Collapse whitespace only. Conflicting descriptions withheld.</x:v>
      </x:c>
    </x:row>
    <x:row r="8" ht="44" customHeight="1">
      <x:c r="A8" s="2" t="str">
        <x:v>A0003</x:v>
      </x:c>
      <x:c r="B8" s="2" t="str">
        <x:v>R001</x:v>
      </x:c>
      <x:c r="C8" s="2" t="str">
        <x:v>Bin</x:v>
      </x:c>
      <x:c r="D8" s="16" t="str">
        <x:v> a-01 </x:v>
      </x:c>
      <x:c r="E8" s="16" t="str">
        <x:v>A-01</x:v>
      </x:c>
      <x:c r="F8" s="14" t="str">
        <x:v>Normalized</x:v>
      </x:c>
      <x:c r="G8" s="14" t="str">
        <x:v>Trim whitespace and uppercase.</x:v>
      </x:c>
    </x:row>
    <x:row r="9" ht="44" customHeight="1">
      <x:c r="A9" s="2" t="str">
        <x:v>A0004</x:v>
      </x:c>
      <x:c r="B9" s="2" t="str">
        <x:v>R001</x:v>
      </x:c>
      <x:c r="C9" s="2" t="str">
        <x:v>Qty</x:v>
      </x:c>
      <x:c r="D9" s="16" t="str">
        <x:v> 0 </x:v>
      </x:c>
      <x:c r="E9" s="16" t="str">
        <x:v>0</x:v>
      </x:c>
      <x:c r="F9" s="14" t="str">
        <x:v>Typed number</x:v>
      </x:c>
      <x:c r="G9" s="14" t="str">
        <x:v>Parse explicit nonnegative number. Uncertain or negative values withheld.</x:v>
      </x:c>
    </x:row>
    <x:row r="10" ht="44" customHeight="1">
      <x:c r="A10" s="2" t="str">
        <x:v>A0005</x:v>
      </x:c>
      <x:c r="B10" s="2" t="str">
        <x:v>R001</x:v>
      </x:c>
      <x:c r="C10" s="2" t="str">
        <x:v>UOM</x:v>
      </x:c>
      <x:c r="D10" s="16" t="str">
        <x:v>each</x:v>
      </x:c>
      <x:c r="E10" s="16" t="str">
        <x:v>EA</x:v>
      </x:c>
      <x:c r="F10" s="14" t="str">
        <x:v>Normalized</x:v>
      </x:c>
      <x:c r="G10" s="14" t="str">
        <x:v>Map explicit synonyms. No pack-size conversion.</x:v>
      </x:c>
    </x:row>
    <x:row r="11" ht="44" customHeight="1">
      <x:c r="A11" s="2" t="str">
        <x:v>A0006</x:v>
      </x:c>
      <x:c r="B11" s="2" t="str">
        <x:v>R001</x:v>
      </x:c>
      <x:c r="C11" s="2" t="str">
        <x:v>Unit cost USD</x:v>
      </x:c>
      <x:c r="D11" s="16" t="str">
        <x:v>$18.50</x:v>
      </x:c>
      <x:c r="E11" s="16" t="str">
        <x:v>18.5</x:v>
      </x:c>
      <x:c r="F11" s="14" t="str">
        <x:v>Typed number</x:v>
      </x:c>
      <x:c r="G11" s="14" t="str">
        <x:v>Parse explicit USD numeric amount. Missing cost stays blank.</x:v>
      </x:c>
    </x:row>
    <x:row r="12" ht="44" customHeight="1">
      <x:c r="A12" s="2" t="str">
        <x:v>A0007</x:v>
      </x:c>
      <x:c r="B12" s="2" t="str">
        <x:v>R001</x:v>
      </x:c>
      <x:c r="C12" s="2" t="str">
        <x:v>Disposition</x:v>
      </x:c>
      <x:c r="D12" s="16" t="str">
        <x:v>[unclassified]</x:v>
      </x:c>
      <x:c r="E12" s="16" t="str">
        <x:v>Ready</x:v>
      </x:c>
      <x:c r="F12" s="14" t="str">
        <x:v>Classified</x:v>
      </x:c>
      <x:c r="G12" s="14" t="str">
        <x:v>Required fields valid and no identity or same-bin conflict.</x:v>
      </x:c>
    </x:row>
    <x:row r="13" ht="44" customHeight="1">
      <x:c r="A13" s="2" t="str">
        <x:v>A0008</x:v>
      </x:c>
      <x:c r="B13" s="2" t="str">
        <x:v>R002</x:v>
      </x:c>
      <x:c r="C13" s="2" t="str">
        <x:v>Bin</x:v>
      </x:c>
      <x:c r="D13" s="16" t="str">
        <x:v> a-02 </x:v>
      </x:c>
      <x:c r="E13" s="16" t="str">
        <x:v>A-02</x:v>
      </x:c>
      <x:c r="F13" s="14" t="str">
        <x:v>Normalized</x:v>
      </x:c>
      <x:c r="G13" s="14" t="str">
        <x:v>Trim whitespace and uppercase.</x:v>
      </x:c>
    </x:row>
    <x:row r="14" ht="44" customHeight="1">
      <x:c r="A14" s="2" t="str">
        <x:v>A0009</x:v>
      </x:c>
      <x:c r="B14" s="2" t="str">
        <x:v>R002</x:v>
      </x:c>
      <x:c r="C14" s="2" t="str">
        <x:v>Qty</x:v>
      </x:c>
      <x:c r="D14" s="16" t="str">
        <x:v>8</x:v>
      </x:c>
      <x:c r="E14" s="16" t="str">
        <x:v>8</x:v>
      </x:c>
      <x:c r="F14" s="14" t="str">
        <x:v>Typed number</x:v>
      </x:c>
      <x:c r="G14" s="14" t="str">
        <x:v>Parse explicit nonnegative number. Uncertain or negative values withheld.</x:v>
      </x:c>
    </x:row>
    <x:row r="15" ht="44" customHeight="1">
      <x:c r="A15" s="2" t="str">
        <x:v>A0010</x:v>
      </x:c>
      <x:c r="B15" s="2" t="str">
        <x:v>R002</x:v>
      </x:c>
      <x:c r="C15" s="2" t="str">
        <x:v>Unit cost USD</x:v>
      </x:c>
      <x:c r="D15" s="16" t="str">
        <x:v>16.75</x:v>
      </x:c>
      <x:c r="E15" s="16" t="str">
        <x:v>16.75</x:v>
      </x:c>
      <x:c r="F15" s="14" t="str">
        <x:v>Typed number</x:v>
      </x:c>
      <x:c r="G15" s="14" t="str">
        <x:v>Parse explicit USD numeric amount. Missing cost stays blank.</x:v>
      </x:c>
    </x:row>
    <x:row r="16" ht="44" customHeight="1">
      <x:c r="A16" s="2" t="str">
        <x:v>A0011</x:v>
      </x:c>
      <x:c r="B16" s="2" t="str">
        <x:v>R002</x:v>
      </x:c>
      <x:c r="C16" s="2" t="str">
        <x:v>Count date</x:v>
      </x:c>
      <x:c r="D16" s="16" t="str">
        <x:v>30 Sep 2026</x:v>
      </x:c>
      <x:c r="E16" s="16" t="str">
        <x:v>2026-09-30</x:v>
      </x:c>
      <x:c r="F16" s="14" t="str">
        <x:v>Normalized</x:v>
      </x:c>
      <x:c r="G16" s="14" t="str">
        <x:v>Parse ISO or spelled-month date only. Ambiguous or invalid date withheld.</x:v>
      </x:c>
    </x:row>
    <x:row r="17" ht="44" customHeight="1">
      <x:c r="A17" s="2" t="str">
        <x:v>A0012</x:v>
      </x:c>
      <x:c r="B17" s="2" t="str">
        <x:v>R002</x:v>
      </x:c>
      <x:c r="C17" s="2" t="str">
        <x:v>Disposition</x:v>
      </x:c>
      <x:c r="D17" s="16" t="str">
        <x:v>[unclassified]</x:v>
      </x:c>
      <x:c r="E17" s="16" t="str">
        <x:v>Ready</x:v>
      </x:c>
      <x:c r="F17" s="14" t="str">
        <x:v>Classified</x:v>
      </x:c>
      <x:c r="G17" s="14" t="str">
        <x:v>Required fields valid and no identity or same-bin conflict.</x:v>
      </x:c>
    </x:row>
    <x:row r="18" ht="44" customHeight="1">
      <x:c r="A18" s="2" t="str">
        <x:v>A0013</x:v>
      </x:c>
      <x:c r="B18" s="2" t="str">
        <x:v>R003</x:v>
      </x:c>
      <x:c r="C18" s="2" t="str">
        <x:v>Bin</x:v>
      </x:c>
      <x:c r="D18" s="16" t="str">
        <x:v> a-03 </x:v>
      </x:c>
      <x:c r="E18" s="16" t="str">
        <x:v>A-03</x:v>
      </x:c>
      <x:c r="F18" s="14" t="str">
        <x:v>Normalized</x:v>
      </x:c>
      <x:c r="G18" s="14" t="str">
        <x:v>Trim whitespace and uppercase.</x:v>
      </x:c>
    </x:row>
    <x:row r="19" ht="44" customHeight="1">
      <x:c r="A19" s="2" t="str">
        <x:v>A0014</x:v>
      </x:c>
      <x:c r="B19" s="2" t="str">
        <x:v>R003</x:v>
      </x:c>
      <x:c r="C19" s="2" t="str">
        <x:v>Qty</x:v>
      </x:c>
      <x:c r="D19" s="16" t="str">
        <x:v>15</x:v>
      </x:c>
      <x:c r="E19" s="16" t="str">
        <x:v>15</x:v>
      </x:c>
      <x:c r="F19" s="14" t="str">
        <x:v>Typed number</x:v>
      </x:c>
      <x:c r="G19" s="14" t="str">
        <x:v>Parse explicit nonnegative number. Uncertain or negative values withheld.</x:v>
      </x:c>
    </x:row>
    <x:row r="20" ht="44" customHeight="1">
      <x:c r="A20" s="2" t="str">
        <x:v>A0015</x:v>
      </x:c>
      <x:c r="B20" s="2" t="str">
        <x:v>R003</x:v>
      </x:c>
      <x:c r="C20" s="2" t="str">
        <x:v>Unit cost USD</x:v>
      </x:c>
      <x:c r="D20" s="16" t="str">
        <x:v>42</x:v>
      </x:c>
      <x:c r="E20" s="16" t="str">
        <x:v>42</x:v>
      </x:c>
      <x:c r="F20" s="14" t="str">
        <x:v>Typed number</x:v>
      </x:c>
      <x:c r="G20" s="14" t="str">
        <x:v>Parse explicit USD numeric amount. Missing cost stays blank.</x:v>
      </x:c>
    </x:row>
    <x:row r="21" ht="44" customHeight="1">
      <x:c r="A21" s="2" t="str">
        <x:v>A0016</x:v>
      </x:c>
      <x:c r="B21" s="2" t="str">
        <x:v>R003</x:v>
      </x:c>
      <x:c r="C21" s="2" t="str">
        <x:v>Disposition</x:v>
      </x:c>
      <x:c r="D21" s="16" t="str">
        <x:v>[unclassified]</x:v>
      </x:c>
      <x:c r="E21" s="16" t="str">
        <x:v>Ready</x:v>
      </x:c>
      <x:c r="F21" s="14" t="str">
        <x:v>Classified</x:v>
      </x:c>
      <x:c r="G21" s="14" t="str">
        <x:v>Required fields valid and no identity or same-bin conflict.</x:v>
      </x:c>
    </x:row>
    <x:row r="22" ht="44" customHeight="1">
      <x:c r="A22" s="2" t="str">
        <x:v>A0017</x:v>
      </x:c>
      <x:c r="B22" s="2" t="str">
        <x:v>R004</x:v>
      </x:c>
      <x:c r="C22" s="2" t="str">
        <x:v>SKU</x:v>
      </x:c>
      <x:c r="D22" s="16" t="str">
        <x:v> flt-h100a </x:v>
      </x:c>
      <x:c r="E22" s="16" t="str">
        <x:v>FLT-H100A</x:v>
      </x:c>
      <x:c r="F22" s="14" t="str">
        <x:v>Normalized</x:v>
      </x:c>
      <x:c r="G22" s="14" t="str">
        <x:v>Trim whitespace and uppercase only. Punctuation and leading zeros retained.</x:v>
      </x:c>
    </x:row>
    <x:row r="23" ht="44" customHeight="1">
      <x:c r="A23" s="2" t="str">
        <x:v>A0018</x:v>
      </x:c>
      <x:c r="B23" s="2" t="str">
        <x:v>R004</x:v>
      </x:c>
      <x:c r="C23" s="2" t="str">
        <x:v>Bin</x:v>
      </x:c>
      <x:c r="D23" s="16" t="str">
        <x:v> a-04 </x:v>
      </x:c>
      <x:c r="E23" s="16" t="str">
        <x:v>A-04</x:v>
      </x:c>
      <x:c r="F23" s="14" t="str">
        <x:v>Normalized</x:v>
      </x:c>
      <x:c r="G23" s="14" t="str">
        <x:v>Trim whitespace and uppercase.</x:v>
      </x:c>
    </x:row>
    <x:row r="24" ht="44" customHeight="1">
      <x:c r="A24" s="2" t="str">
        <x:v>A0019</x:v>
      </x:c>
      <x:c r="B24" s="2" t="str">
        <x:v>R004</x:v>
      </x:c>
      <x:c r="C24" s="2" t="str">
        <x:v>Qty</x:v>
      </x:c>
      <x:c r="D24" s="16" t="str">
        <x:v>22</x:v>
      </x:c>
      <x:c r="E24" s="16" t="str">
        <x:v>22</x:v>
      </x:c>
      <x:c r="F24" s="14" t="str">
        <x:v>Typed number</x:v>
      </x:c>
      <x:c r="G24" s="14" t="str">
        <x:v>Parse explicit nonnegative number. Uncertain or negative values withheld.</x:v>
      </x:c>
    </x:row>
    <x:row r="25" ht="44" customHeight="1">
      <x:c r="A25" s="2" t="str">
        <x:v>A0020</x:v>
      </x:c>
      <x:c r="B25" s="2" t="str">
        <x:v>R004</x:v>
      </x:c>
      <x:c r="C25" s="2" t="str">
        <x:v>UOM</x:v>
      </x:c>
      <x:c r="D25" s="16" t="str">
        <x:v>each</x:v>
      </x:c>
      <x:c r="E25" s="16" t="str">
        <x:v>EA</x:v>
      </x:c>
      <x:c r="F25" s="14" t="str">
        <x:v>Normalized</x:v>
      </x:c>
      <x:c r="G25" s="14" t="str">
        <x:v>Map explicit synonyms. No pack-size conversion.</x:v>
      </x:c>
    </x:row>
    <x:row r="26" ht="44" customHeight="1">
      <x:c r="A26" s="2" t="str">
        <x:v>A0021</x:v>
      </x:c>
      <x:c r="B26" s="2" t="str">
        <x:v>R004</x:v>
      </x:c>
      <x:c r="C26" s="2" t="str">
        <x:v>Unit cost USD</x:v>
      </x:c>
      <x:c r="D26" s="16" t="str">
        <x:v>46.8</x:v>
      </x:c>
      <x:c r="E26" s="16" t="str">
        <x:v>46.8</x:v>
      </x:c>
      <x:c r="F26" s="14" t="str">
        <x:v>Typed number</x:v>
      </x:c>
      <x:c r="G26" s="14" t="str">
        <x:v>Parse explicit USD numeric amount. Missing cost stays blank.</x:v>
      </x:c>
    </x:row>
    <x:row r="27" ht="44" customHeight="1">
      <x:c r="A27" s="2" t="str">
        <x:v>A0022</x:v>
      </x:c>
      <x:c r="B27" s="2" t="str">
        <x:v>R004</x:v>
      </x:c>
      <x:c r="C27" s="2" t="str">
        <x:v>Count date</x:v>
      </x:c>
      <x:c r="D27" s="16" t="str">
        <x:v>30 Sep 2026</x:v>
      </x:c>
      <x:c r="E27" s="16" t="str">
        <x:v>2026-09-30</x:v>
      </x:c>
      <x:c r="F27" s="14" t="str">
        <x:v>Normalized</x:v>
      </x:c>
      <x:c r="G27" s="14" t="str">
        <x:v>Parse ISO or spelled-month date only. Ambiguous or invalid date withheld.</x:v>
      </x:c>
    </x:row>
    <x:row r="28" ht="44" customHeight="1">
      <x:c r="A28" s="2" t="str">
        <x:v>A0023</x:v>
      </x:c>
      <x:c r="B28" s="2" t="str">
        <x:v>R004</x:v>
      </x:c>
      <x:c r="C28" s="2" t="str">
        <x:v>Disposition</x:v>
      </x:c>
      <x:c r="D28" s="16" t="str">
        <x:v>[unclassified]</x:v>
      </x:c>
      <x:c r="E28" s="16" t="str">
        <x:v>Ready</x:v>
      </x:c>
      <x:c r="F28" s="14" t="str">
        <x:v>Classified</x:v>
      </x:c>
      <x:c r="G28" s="14" t="str">
        <x:v>Required fields valid and no identity or same-bin conflict.</x:v>
      </x:c>
    </x:row>
    <x:row r="29" ht="44" customHeight="1">
      <x:c r="A29" s="2" t="str">
        <x:v>A0024</x:v>
      </x:c>
      <x:c r="B29" s="2" t="str">
        <x:v>R005</x:v>
      </x:c>
      <x:c r="C29" s="2" t="str">
        <x:v>Description</x:v>
      </x:c>
      <x:c r="D29" s="16" t="str">
        <x:v> V-belt  B42 </x:v>
      </x:c>
      <x:c r="E29" s="16" t="str">
        <x:v>V-belt B42</x:v>
      </x:c>
      <x:c r="F29" s="14" t="str">
        <x:v>Normalized</x:v>
      </x:c>
      <x:c r="G29" s="14" t="str">
        <x:v>Collapse whitespace only. Conflicting descriptions withheld.</x:v>
      </x:c>
    </x:row>
    <x:row r="30" ht="44" customHeight="1">
      <x:c r="A30" s="2" t="str">
        <x:v>A0025</x:v>
      </x:c>
      <x:c r="B30" s="2" t="str">
        <x:v>R005</x:v>
      </x:c>
      <x:c r="C30" s="2" t="str">
        <x:v>Bin</x:v>
      </x:c>
      <x:c r="D30" s="16" t="str">
        <x:v> a-05 </x:v>
      </x:c>
      <x:c r="E30" s="16" t="str">
        <x:v>A-05</x:v>
      </x:c>
      <x:c r="F30" s="14" t="str">
        <x:v>Normalized</x:v>
      </x:c>
      <x:c r="G30" s="14" t="str">
        <x:v>Trim whitespace and uppercase.</x:v>
      </x:c>
    </x:row>
    <x:row r="31" ht="44" customHeight="1">
      <x:c r="A31" s="2" t="str">
        <x:v>A0026</x:v>
      </x:c>
      <x:c r="B31" s="2" t="str">
        <x:v>R005</x:v>
      </x:c>
      <x:c r="C31" s="2" t="str">
        <x:v>Qty</x:v>
      </x:c>
      <x:c r="D31" s="16" t="str">
        <x:v>29</x:v>
      </x:c>
      <x:c r="E31" s="16" t="str">
        <x:v>29</x:v>
      </x:c>
      <x:c r="F31" s="14" t="str">
        <x:v>Typed number</x:v>
      </x:c>
      <x:c r="G31" s="14" t="str">
        <x:v>Parse explicit nonnegative number. Uncertain or negative values withheld.</x:v>
      </x:c>
    </x:row>
    <x:row r="32" ht="44" customHeight="1">
      <x:c r="A32" s="2" t="str">
        <x:v>A0027</x:v>
      </x:c>
      <x:c r="B32" s="2" t="str">
        <x:v>R005</x:v>
      </x:c>
      <x:c r="C32" s="2" t="str">
        <x:v>Unit cost USD</x:v>
      </x:c>
      <x:c r="D32" s="16" t="str">
        <x:v>$23.40</x:v>
      </x:c>
      <x:c r="E32" s="16" t="str">
        <x:v>23.4</x:v>
      </x:c>
      <x:c r="F32" s="14" t="str">
        <x:v>Typed number</x:v>
      </x:c>
      <x:c r="G32" s="14" t="str">
        <x:v>Parse explicit USD numeric amount. Missing cost stays blank.</x:v>
      </x:c>
    </x:row>
    <x:row r="33" ht="44" customHeight="1">
      <x:c r="A33" s="2" t="str">
        <x:v>A0028</x:v>
      </x:c>
      <x:c r="B33" s="2" t="str">
        <x:v>R005</x:v>
      </x:c>
      <x:c r="C33" s="2" t="str">
        <x:v>Disposition</x:v>
      </x:c>
      <x:c r="D33" s="16" t="str">
        <x:v>[unclassified]</x:v>
      </x:c>
      <x:c r="E33" s="16" t="str">
        <x:v>Ready</x:v>
      </x:c>
      <x:c r="F33" s="14" t="str">
        <x:v>Classified</x:v>
      </x:c>
      <x:c r="G33" s="14" t="str">
        <x:v>Required fields valid and no identity or same-bin conflict.</x:v>
      </x:c>
    </x:row>
    <x:row r="34" ht="44" customHeight="1">
      <x:c r="A34" s="2" t="str">
        <x:v>A0029</x:v>
      </x:c>
      <x:c r="B34" s="2" t="str">
        <x:v>R006</x:v>
      </x:c>
      <x:c r="C34" s="2" t="str">
        <x:v>Bin</x:v>
      </x:c>
      <x:c r="D34" s="16" t="str">
        <x:v> a-06 </x:v>
      </x:c>
      <x:c r="E34" s="16" t="str">
        <x:v>A-06</x:v>
      </x:c>
      <x:c r="F34" s="14" t="str">
        <x:v>Normalized</x:v>
      </x:c>
      <x:c r="G34" s="14" t="str">
        <x:v>Trim whitespace and uppercase.</x:v>
      </x:c>
    </x:row>
    <x:row r="35" ht="44" customHeight="1">
      <x:c r="A35" s="2" t="str">
        <x:v>A0030</x:v>
      </x:c>
      <x:c r="B35" s="2" t="str">
        <x:v>R006</x:v>
      </x:c>
      <x:c r="C35" s="2" t="str">
        <x:v>Qty</x:v>
      </x:c>
      <x:c r="D35" s="16" t="str">
        <x:v> 36 </x:v>
      </x:c>
      <x:c r="E35" s="16" t="str">
        <x:v>36</x:v>
      </x:c>
      <x:c r="F35" s="14" t="str">
        <x:v>Typed number</x:v>
      </x:c>
      <x:c r="G35" s="14" t="str">
        <x:v>Parse explicit nonnegative number. Uncertain or negative values withheld.</x:v>
      </x:c>
    </x:row>
    <x:row r="36" ht="44" customHeight="1">
      <x:c r="A36" s="2" t="str">
        <x:v>A0031</x:v>
      </x:c>
      <x:c r="B36" s="2" t="str">
        <x:v>R006</x:v>
      </x:c>
      <x:c r="C36" s="2" t="str">
        <x:v>Unit cost USD</x:v>
      </x:c>
      <x:c r="D36" s="16" t="str">
        <x:v>24.2</x:v>
      </x:c>
      <x:c r="E36" s="16" t="str">
        <x:v>24.2</x:v>
      </x:c>
      <x:c r="F36" s="14" t="str">
        <x:v>Typed number</x:v>
      </x:c>
      <x:c r="G36" s="14" t="str">
        <x:v>Parse explicit USD numeric amount. Missing cost stays blank.</x:v>
      </x:c>
    </x:row>
    <x:row r="37" ht="44" customHeight="1">
      <x:c r="A37" s="2" t="str">
        <x:v>A0032</x:v>
      </x:c>
      <x:c r="B37" s="2" t="str">
        <x:v>R006</x:v>
      </x:c>
      <x:c r="C37" s="2" t="str">
        <x:v>Count date</x:v>
      </x:c>
      <x:c r="D37" s="16" t="str">
        <x:v>30 Sep 2026</x:v>
      </x:c>
      <x:c r="E37" s="16" t="str">
        <x:v>2026-09-30</x:v>
      </x:c>
      <x:c r="F37" s="14" t="str">
        <x:v>Normalized</x:v>
      </x:c>
      <x:c r="G37" s="14" t="str">
        <x:v>Parse ISO or spelled-month date only. Ambiguous or invalid date withheld.</x:v>
      </x:c>
    </x:row>
    <x:row r="38" ht="44" customHeight="1">
      <x:c r="A38" s="2" t="str">
        <x:v>A0033</x:v>
      </x:c>
      <x:c r="B38" s="2" t="str">
        <x:v>R006</x:v>
      </x:c>
      <x:c r="C38" s="2" t="str">
        <x:v>Disposition</x:v>
      </x:c>
      <x:c r="D38" s="16" t="str">
        <x:v>[unclassified]</x:v>
      </x:c>
      <x:c r="E38" s="16" t="str">
        <x:v>Ready</x:v>
      </x:c>
      <x:c r="F38" s="14" t="str">
        <x:v>Classified</x:v>
      </x:c>
      <x:c r="G38" s="14" t="str">
        <x:v>Required fields valid and no identity or same-bin conflict.</x:v>
      </x:c>
    </x:row>
    <x:row r="39" ht="44" customHeight="1">
      <x:c r="A39" s="2" t="str">
        <x:v>A0034</x:v>
      </x:c>
      <x:c r="B39" s="2" t="str">
        <x:v>R007</x:v>
      </x:c>
      <x:c r="C39" s="2" t="str">
        <x:v>SKU</x:v>
      </x:c>
      <x:c r="D39" s="16" t="str">
        <x:v> seal-040 </x:v>
      </x:c>
      <x:c r="E39" s="16" t="str">
        <x:v>SEAL-040</x:v>
      </x:c>
      <x:c r="F39" s="14" t="str">
        <x:v>Normalized</x:v>
      </x:c>
      <x:c r="G39" s="14" t="str">
        <x:v>Trim whitespace and uppercase only. Punctuation and leading zeros retained.</x:v>
      </x:c>
    </x:row>
    <x:row r="40" ht="44" customHeight="1">
      <x:c r="A40" s="2" t="str">
        <x:v>A0035</x:v>
      </x:c>
      <x:c r="B40" s="2" t="str">
        <x:v>R007</x:v>
      </x:c>
      <x:c r="C40" s="2" t="str">
        <x:v>Bin</x:v>
      </x:c>
      <x:c r="D40" s="16" t="str">
        <x:v> a-07 </x:v>
      </x:c>
      <x:c r="E40" s="16" t="str">
        <x:v>A-07</x:v>
      </x:c>
      <x:c r="F40" s="14" t="str">
        <x:v>Normalized</x:v>
      </x:c>
      <x:c r="G40" s="14" t="str">
        <x:v>Trim whitespace and uppercase.</x:v>
      </x:c>
    </x:row>
    <x:row r="41" ht="44" customHeight="1">
      <x:c r="A41" s="2" t="str">
        <x:v>A0036</x:v>
      </x:c>
      <x:c r="B41" s="2" t="str">
        <x:v>R007</x:v>
      </x:c>
      <x:c r="C41" s="2" t="str">
        <x:v>Qty</x:v>
      </x:c>
      <x:c r="D41" s="16" t="str">
        <x:v>43</x:v>
      </x:c>
      <x:c r="E41" s="16" t="str">
        <x:v>43</x:v>
      </x:c>
      <x:c r="F41" s="14" t="str">
        <x:v>Typed number</x:v>
      </x:c>
      <x:c r="G41" s="14" t="str">
        <x:v>Parse explicit nonnegative number. Uncertain or negative values withheld.</x:v>
      </x:c>
    </x:row>
    <x:row r="42" ht="44" customHeight="1">
      <x:c r="A42" s="2" t="str">
        <x:v>A0037</x:v>
      </x:c>
      <x:c r="B42" s="2" t="str">
        <x:v>R007</x:v>
      </x:c>
      <x:c r="C42" s="2" t="str">
        <x:v>UOM</x:v>
      </x:c>
      <x:c r="D42" s="16" t="str">
        <x:v>each</x:v>
      </x:c>
      <x:c r="E42" s="16" t="str">
        <x:v>EA</x:v>
      </x:c>
      <x:c r="F42" s="14" t="str">
        <x:v>Normalized</x:v>
      </x:c>
      <x:c r="G42" s="14" t="str">
        <x:v>Map explicit synonyms. No pack-size conversion.</x:v>
      </x:c>
    </x:row>
    <x:row r="43" ht="44" customHeight="1">
      <x:c r="A43" s="2" t="str">
        <x:v>A0038</x:v>
      </x:c>
      <x:c r="B43" s="2" t="str">
        <x:v>R007</x:v>
      </x:c>
      <x:c r="C43" s="2" t="str">
        <x:v>Unit cost USD</x:v>
      </x:c>
      <x:c r="D43" s="16" t="str">
        <x:v>8.6</x:v>
      </x:c>
      <x:c r="E43" s="16" t="str">
        <x:v>8.6</x:v>
      </x:c>
      <x:c r="F43" s="14" t="str">
        <x:v>Typed number</x:v>
      </x:c>
      <x:c r="G43" s="14" t="str">
        <x:v>Parse explicit USD numeric amount. Missing cost stays blank.</x:v>
      </x:c>
    </x:row>
    <x:row r="44" ht="44" customHeight="1">
      <x:c r="A44" s="2" t="str">
        <x:v>A0039</x:v>
      </x:c>
      <x:c r="B44" s="2" t="str">
        <x:v>R007</x:v>
      </x:c>
      <x:c r="C44" s="2" t="str">
        <x:v>Disposition</x:v>
      </x:c>
      <x:c r="D44" s="16" t="str">
        <x:v>[unclassified]</x:v>
      </x:c>
      <x:c r="E44" s="16" t="str">
        <x:v>Ready</x:v>
      </x:c>
      <x:c r="F44" s="14" t="str">
        <x:v>Classified</x:v>
      </x:c>
      <x:c r="G44" s="14" t="str">
        <x:v>Required fields valid and no identity or same-bin conflict.</x:v>
      </x:c>
    </x:row>
    <x:row r="45" ht="44" customHeight="1">
      <x:c r="A45" s="2" t="str">
        <x:v>A0040</x:v>
      </x:c>
      <x:c r="B45" s="2" t="str">
        <x:v>R008</x:v>
      </x:c>
      <x:c r="C45" s="2" t="str">
        <x:v>Bin</x:v>
      </x:c>
      <x:c r="D45" s="16" t="str">
        <x:v> a-08 </x:v>
      </x:c>
      <x:c r="E45" s="16" t="str">
        <x:v>A-08</x:v>
      </x:c>
      <x:c r="F45" s="14" t="str">
        <x:v>Normalized</x:v>
      </x:c>
      <x:c r="G45" s="14" t="str">
        <x:v>Trim whitespace and uppercase.</x:v>
      </x:c>
    </x:row>
    <x:row r="46" ht="44" customHeight="1">
      <x:c r="A46" s="2" t="str">
        <x:v>A0041</x:v>
      </x:c>
      <x:c r="B46" s="2" t="str">
        <x:v>R008</x:v>
      </x:c>
      <x:c r="C46" s="2" t="str">
        <x:v>Qty</x:v>
      </x:c>
      <x:c r="D46" s="16" t="str">
        <x:v>5</x:v>
      </x:c>
      <x:c r="E46" s="16" t="str">
        <x:v>5</x:v>
      </x:c>
      <x:c r="F46" s="14" t="str">
        <x:v>Typed number</x:v>
      </x:c>
      <x:c r="G46" s="14" t="str">
        <x:v>Parse explicit nonnegative number. Uncertain or negative values withheld.</x:v>
      </x:c>
    </x:row>
    <x:row r="47" ht="44" customHeight="1">
      <x:c r="A47" s="2" t="str">
        <x:v>A0042</x:v>
      </x:c>
      <x:c r="B47" s="2" t="str">
        <x:v>R008</x:v>
      </x:c>
      <x:c r="C47" s="2" t="str">
        <x:v>Unit cost USD</x:v>
      </x:c>
      <x:c r="D47" s="16" t="str">
        <x:v>9.1</x:v>
      </x:c>
      <x:c r="E47" s="16" t="str">
        <x:v>9.1</x:v>
      </x:c>
      <x:c r="F47" s="14" t="str">
        <x:v>Typed number</x:v>
      </x:c>
      <x:c r="G47" s="14" t="str">
        <x:v>Parse explicit USD numeric amount. Missing cost stays blank.</x:v>
      </x:c>
    </x:row>
    <x:row r="48" ht="44" customHeight="1">
      <x:c r="A48" s="2" t="str">
        <x:v>A0043</x:v>
      </x:c>
      <x:c r="B48" s="2" t="str">
        <x:v>R008</x:v>
      </x:c>
      <x:c r="C48" s="2" t="str">
        <x:v>Count date</x:v>
      </x:c>
      <x:c r="D48" s="16" t="str">
        <x:v>30 Sep 2026</x:v>
      </x:c>
      <x:c r="E48" s="16" t="str">
        <x:v>2026-09-30</x:v>
      </x:c>
      <x:c r="F48" s="14" t="str">
        <x:v>Normalized</x:v>
      </x:c>
      <x:c r="G48" s="14" t="str">
        <x:v>Parse ISO or spelled-month date only. Ambiguous or invalid date withheld.</x:v>
      </x:c>
    </x:row>
    <x:row r="49" ht="44" customHeight="1">
      <x:c r="A49" s="2" t="str">
        <x:v>A0044</x:v>
      </x:c>
      <x:c r="B49" s="2" t="str">
        <x:v>R008</x:v>
      </x:c>
      <x:c r="C49" s="2" t="str">
        <x:v>Disposition</x:v>
      </x:c>
      <x:c r="D49" s="16" t="str">
        <x:v>[unclassified]</x:v>
      </x:c>
      <x:c r="E49" s="16" t="str">
        <x:v>Ready</x:v>
      </x:c>
      <x:c r="F49" s="14" t="str">
        <x:v>Classified</x:v>
      </x:c>
      <x:c r="G49" s="14" t="str">
        <x:v>Required fields valid and no identity or same-bin conflict.</x:v>
      </x:c>
    </x:row>
    <x:row r="50" ht="44" customHeight="1">
      <x:c r="A50" s="2" t="str">
        <x:v>A0045</x:v>
      </x:c>
      <x:c r="B50" s="2" t="str">
        <x:v>R009</x:v>
      </x:c>
      <x:c r="C50" s="2" t="str">
        <x:v>Description</x:v>
      </x:c>
      <x:c r="D50" s="16" t="str">
        <x:v> Bolt  M12  x  40  mm </x:v>
      </x:c>
      <x:c r="E50" s="16" t="str">
        <x:v>Bolt M12 x 40 mm</x:v>
      </x:c>
      <x:c r="F50" s="14" t="str">
        <x:v>Normalized</x:v>
      </x:c>
      <x:c r="G50" s="14" t="str">
        <x:v>Collapse whitespace only. Conflicting descriptions withheld.</x:v>
      </x:c>
    </x:row>
    <x:row r="51" ht="44" customHeight="1">
      <x:c r="A51" s="2" t="str">
        <x:v>A0046</x:v>
      </x:c>
      <x:c r="B51" s="2" t="str">
        <x:v>R009</x:v>
      </x:c>
      <x:c r="C51" s="2" t="str">
        <x:v>Bin</x:v>
      </x:c>
      <x:c r="D51" s="16" t="str">
        <x:v> a-09 </x:v>
      </x:c>
      <x:c r="E51" s="16" t="str">
        <x:v>A-09</x:v>
      </x:c>
      <x:c r="F51" s="14" t="str">
        <x:v>Normalized</x:v>
      </x:c>
      <x:c r="G51" s="14" t="str">
        <x:v>Trim whitespace and uppercase.</x:v>
      </x:c>
    </x:row>
    <x:row r="52" ht="44" customHeight="1">
      <x:c r="A52" s="2" t="str">
        <x:v>A0047</x:v>
      </x:c>
      <x:c r="B52" s="2" t="str">
        <x:v>R009</x:v>
      </x:c>
      <x:c r="C52" s="2" t="str">
        <x:v>Qty</x:v>
      </x:c>
      <x:c r="D52" s="16" t="str">
        <x:v>12</x:v>
      </x:c>
      <x:c r="E52" s="16" t="str">
        <x:v>12</x:v>
      </x:c>
      <x:c r="F52" s="14" t="str">
        <x:v>Typed number</x:v>
      </x:c>
      <x:c r="G52" s="14" t="str">
        <x:v>Parse explicit nonnegative number. Uncertain or negative values withheld.</x:v>
      </x:c>
    </x:row>
    <x:row r="53" ht="44" customHeight="1">
      <x:c r="A53" s="2" t="str">
        <x:v>A0048</x:v>
      </x:c>
      <x:c r="B53" s="2" t="str">
        <x:v>R009</x:v>
      </x:c>
      <x:c r="C53" s="2" t="str">
        <x:v>Unit cost USD</x:v>
      </x:c>
      <x:c r="D53" s="16" t="str">
        <x:v>$0.85</x:v>
      </x:c>
      <x:c r="E53" s="16" t="str">
        <x:v>0.85</x:v>
      </x:c>
      <x:c r="F53" s="14" t="str">
        <x:v>Typed number</x:v>
      </x:c>
      <x:c r="G53" s="14" t="str">
        <x:v>Parse explicit USD numeric amount. Missing cost stays blank.</x:v>
      </x:c>
    </x:row>
    <x:row r="54" ht="44" customHeight="1">
      <x:c r="A54" s="2" t="str">
        <x:v>A0049</x:v>
      </x:c>
      <x:c r="B54" s="2" t="str">
        <x:v>R009</x:v>
      </x:c>
      <x:c r="C54" s="2" t="str">
        <x:v>Disposition</x:v>
      </x:c>
      <x:c r="D54" s="16" t="str">
        <x:v>[unclassified]</x:v>
      </x:c>
      <x:c r="E54" s="16" t="str">
        <x:v>Ready</x:v>
      </x:c>
      <x:c r="F54" s="14" t="str">
        <x:v>Classified</x:v>
      </x:c>
      <x:c r="G54" s="14" t="str">
        <x:v>Required fields valid and no identity or same-bin conflict.</x:v>
      </x:c>
    </x:row>
    <x:row r="55" ht="44" customHeight="1">
      <x:c r="A55" s="2" t="str">
        <x:v>A0050</x:v>
      </x:c>
      <x:c r="B55" s="2" t="str">
        <x:v>R010</x:v>
      </x:c>
      <x:c r="C55" s="2" t="str">
        <x:v>SKU</x:v>
      </x:c>
      <x:c r="D55" s="16" t="str">
        <x:v> bolt-m12-50 </x:v>
      </x:c>
      <x:c r="E55" s="16" t="str">
        <x:v>BOLT-M12-50</x:v>
      </x:c>
      <x:c r="F55" s="14" t="str">
        <x:v>Normalized</x:v>
      </x:c>
      <x:c r="G55" s="14" t="str">
        <x:v>Trim whitespace and uppercase only. Punctuation and leading zeros retained.</x:v>
      </x:c>
    </x:row>
    <x:row r="56" ht="44" customHeight="1">
      <x:c r="A56" s="2" t="str">
        <x:v>A0051</x:v>
      </x:c>
      <x:c r="B56" s="2" t="str">
        <x:v>R010</x:v>
      </x:c>
      <x:c r="C56" s="2" t="str">
        <x:v>Bin</x:v>
      </x:c>
      <x:c r="D56" s="16" t="str">
        <x:v> a-10 </x:v>
      </x:c>
      <x:c r="E56" s="16" t="str">
        <x:v>A-10</x:v>
      </x:c>
      <x:c r="F56" s="14" t="str">
        <x:v>Normalized</x:v>
      </x:c>
      <x:c r="G56" s="14" t="str">
        <x:v>Trim whitespace and uppercase.</x:v>
      </x:c>
    </x:row>
    <x:row r="57" ht="44" customHeight="1">
      <x:c r="A57" s="2" t="str">
        <x:v>A0052</x:v>
      </x:c>
      <x:c r="B57" s="2" t="str">
        <x:v>R010</x:v>
      </x:c>
      <x:c r="C57" s="2" t="str">
        <x:v>Qty</x:v>
      </x:c>
      <x:c r="D57" s="16" t="str">
        <x:v>19</x:v>
      </x:c>
      <x:c r="E57" s="16" t="str">
        <x:v>19</x:v>
      </x:c>
      <x:c r="F57" s="14" t="str">
        <x:v>Typed number</x:v>
      </x:c>
      <x:c r="G57" s="14" t="str">
        <x:v>Parse explicit nonnegative number. Uncertain or negative values withheld.</x:v>
      </x:c>
    </x:row>
    <x:row r="58" ht="44" customHeight="1">
      <x:c r="A58" s="2" t="str">
        <x:v>A0053</x:v>
      </x:c>
      <x:c r="B58" s="2" t="str">
        <x:v>R010</x:v>
      </x:c>
      <x:c r="C58" s="2" t="str">
        <x:v>UOM</x:v>
      </x:c>
      <x:c r="D58" s="16" t="str">
        <x:v>each</x:v>
      </x:c>
      <x:c r="E58" s="16" t="str">
        <x:v>EA</x:v>
      </x:c>
      <x:c r="F58" s="14" t="str">
        <x:v>Normalized</x:v>
      </x:c>
      <x:c r="G58" s="14" t="str">
        <x:v>Map explicit synonyms. No pack-size conversion.</x:v>
      </x:c>
    </x:row>
    <x:row r="59" ht="44" customHeight="1">
      <x:c r="A59" s="2" t="str">
        <x:v>A0054</x:v>
      </x:c>
      <x:c r="B59" s="2" t="str">
        <x:v>R010</x:v>
      </x:c>
      <x:c r="C59" s="2" t="str">
        <x:v>Unit cost USD</x:v>
      </x:c>
      <x:c r="D59" s="16" t="str">
        <x:v>0.95</x:v>
      </x:c>
      <x:c r="E59" s="16" t="str">
        <x:v>0.95</x:v>
      </x:c>
      <x:c r="F59" s="14" t="str">
        <x:v>Typed number</x:v>
      </x:c>
      <x:c r="G59" s="14" t="str">
        <x:v>Parse explicit USD numeric amount. Missing cost stays blank.</x:v>
      </x:c>
    </x:row>
    <x:row r="60" ht="44" customHeight="1">
      <x:c r="A60" s="2" t="str">
        <x:v>A0055</x:v>
      </x:c>
      <x:c r="B60" s="2" t="str">
        <x:v>R010</x:v>
      </x:c>
      <x:c r="C60" s="2" t="str">
        <x:v>Count date</x:v>
      </x:c>
      <x:c r="D60" s="16" t="str">
        <x:v>30 Sep 2026</x:v>
      </x:c>
      <x:c r="E60" s="16" t="str">
        <x:v>2026-09-30</x:v>
      </x:c>
      <x:c r="F60" s="14" t="str">
        <x:v>Normalized</x:v>
      </x:c>
      <x:c r="G60" s="14" t="str">
        <x:v>Parse ISO or spelled-month date only. Ambiguous or invalid date withheld.</x:v>
      </x:c>
    </x:row>
    <x:row r="61" ht="44" customHeight="1">
      <x:c r="A61" s="2" t="str">
        <x:v>A0056</x:v>
      </x:c>
      <x:c r="B61" s="2" t="str">
        <x:v>R010</x:v>
      </x:c>
      <x:c r="C61" s="2" t="str">
        <x:v>Disposition</x:v>
      </x:c>
      <x:c r="D61" s="16" t="str">
        <x:v>[unclassified]</x:v>
      </x:c>
      <x:c r="E61" s="16" t="str">
        <x:v>Ready</x:v>
      </x:c>
      <x:c r="F61" s="14" t="str">
        <x:v>Classified</x:v>
      </x:c>
      <x:c r="G61" s="14" t="str">
        <x:v>Required fields valid and no identity or same-bin conflict.</x:v>
      </x:c>
    </x:row>
    <x:row r="62" ht="44" customHeight="1">
      <x:c r="A62" s="2" t="str">
        <x:v>A0057</x:v>
      </x:c>
      <x:c r="B62" s="2" t="str">
        <x:v>R011</x:v>
      </x:c>
      <x:c r="C62" s="2" t="str">
        <x:v>Bin</x:v>
      </x:c>
      <x:c r="D62" s="16" t="str">
        <x:v> a-11 </x:v>
      </x:c>
      <x:c r="E62" s="16" t="str">
        <x:v>A-11</x:v>
      </x:c>
      <x:c r="F62" s="14" t="str">
        <x:v>Normalized</x:v>
      </x:c>
      <x:c r="G62" s="14" t="str">
        <x:v>Trim whitespace and uppercase.</x:v>
      </x:c>
    </x:row>
    <x:row r="63" ht="44" customHeight="1">
      <x:c r="A63" s="2" t="str">
        <x:v>A0058</x:v>
      </x:c>
      <x:c r="B63" s="2" t="str">
        <x:v>R011</x:v>
      </x:c>
      <x:c r="C63" s="2" t="str">
        <x:v>Qty</x:v>
      </x:c>
      <x:c r="D63" s="16" t="str">
        <x:v> 17.5 </x:v>
      </x:c>
      <x:c r="E63" s="16" t="str">
        <x:v>17.5</x:v>
      </x:c>
      <x:c r="F63" s="14" t="str">
        <x:v>Typed number</x:v>
      </x:c>
      <x:c r="G63" s="14" t="str">
        <x:v>Parse explicit nonnegative number. Uncertain or negative values withheld.</x:v>
      </x:c>
    </x:row>
    <x:row r="64" ht="44" customHeight="1">
      <x:c r="A64" s="2" t="str">
        <x:v>A0059</x:v>
      </x:c>
      <x:c r="B64" s="2" t="str">
        <x:v>R011</x:v>
      </x:c>
      <x:c r="C64" s="2" t="str">
        <x:v>Unit cost USD</x:v>
      </x:c>
      <x:c r="D64" s="16" t="str">
        <x:v>12.5</x:v>
      </x:c>
      <x:c r="E64" s="16" t="str">
        <x:v>12.5</x:v>
      </x:c>
      <x:c r="F64" s="14" t="str">
        <x:v>Typed number</x:v>
      </x:c>
      <x:c r="G64" s="14" t="str">
        <x:v>Parse explicit USD numeric amount. Missing cost stays blank.</x:v>
      </x:c>
    </x:row>
    <x:row r="65" ht="44" customHeight="1">
      <x:c r="A65" s="2" t="str">
        <x:v>A0060</x:v>
      </x:c>
      <x:c r="B65" s="2" t="str">
        <x:v>R011</x:v>
      </x:c>
      <x:c r="C65" s="2" t="str">
        <x:v>Disposition</x:v>
      </x:c>
      <x:c r="D65" s="16" t="str">
        <x:v>[unclassified]</x:v>
      </x:c>
      <x:c r="E65" s="16" t="str">
        <x:v>Ready</x:v>
      </x:c>
      <x:c r="F65" s="14" t="str">
        <x:v>Classified</x:v>
      </x:c>
      <x:c r="G65" s="14" t="str">
        <x:v>Required fields valid and no identity or same-bin conflict.</x:v>
      </x:c>
    </x:row>
    <x:row r="66" ht="44" customHeight="1">
      <x:c r="A66" s="2" t="str">
        <x:v>A0061</x:v>
      </x:c>
      <x:c r="B66" s="2" t="str">
        <x:v>R012</x:v>
      </x:c>
      <x:c r="C66" s="2" t="str">
        <x:v>Bin</x:v>
      </x:c>
      <x:c r="D66" s="16" t="str">
        <x:v> a-12 </x:v>
      </x:c>
      <x:c r="E66" s="16" t="str">
        <x:v>A-12</x:v>
      </x:c>
      <x:c r="F66" s="14" t="str">
        <x:v>Normalized</x:v>
      </x:c>
      <x:c r="G66" s="14" t="str">
        <x:v>Trim whitespace and uppercase.</x:v>
      </x:c>
    </x:row>
    <x:row r="67" ht="44" customHeight="1">
      <x:c r="A67" s="2" t="str">
        <x:v>A0062</x:v>
      </x:c>
      <x:c r="B67" s="2" t="str">
        <x:v>R012</x:v>
      </x:c>
      <x:c r="C67" s="2" t="str">
        <x:v>Qty</x:v>
      </x:c>
      <x:c r="D67" s="16" t="str">
        <x:v>23</x:v>
      </x:c>
      <x:c r="E67" s="16" t="str">
        <x:v>23</x:v>
      </x:c>
      <x:c r="F67" s="14" t="str">
        <x:v>Typed number</x:v>
      </x:c>
      <x:c r="G67" s="14" t="str">
        <x:v>Parse explicit nonnegative number. Uncertain or negative values withheld.</x:v>
      </x:c>
    </x:row>
    <x:row r="68" ht="44" customHeight="1">
      <x:c r="A68" s="2" t="str">
        <x:v>A0063</x:v>
      </x:c>
      <x:c r="B68" s="2" t="str">
        <x:v>R012</x:v>
      </x:c>
      <x:c r="C68" s="2" t="str">
        <x:v>Unit cost USD</x:v>
      </x:c>
      <x:c r="D68" s="16" t="str">
        <x:v>15.8</x:v>
      </x:c>
      <x:c r="E68" s="16" t="str">
        <x:v>15.8</x:v>
      </x:c>
      <x:c r="F68" s="14" t="str">
        <x:v>Typed number</x:v>
      </x:c>
      <x:c r="G68" s="14" t="str">
        <x:v>Parse explicit USD numeric amount. Missing cost stays blank.</x:v>
      </x:c>
    </x:row>
    <x:row r="69" ht="44" customHeight="1">
      <x:c r="A69" s="2" t="str">
        <x:v>A0064</x:v>
      </x:c>
      <x:c r="B69" s="2" t="str">
        <x:v>R012</x:v>
      </x:c>
      <x:c r="C69" s="2" t="str">
        <x:v>Count date</x:v>
      </x:c>
      <x:c r="D69" s="16" t="str">
        <x:v>30 Sep 2026</x:v>
      </x:c>
      <x:c r="E69" s="16" t="str">
        <x:v>2026-09-30</x:v>
      </x:c>
      <x:c r="F69" s="14" t="str">
        <x:v>Normalized</x:v>
      </x:c>
      <x:c r="G69" s="14" t="str">
        <x:v>Parse ISO or spelled-month date only. Ambiguous or invalid date withheld.</x:v>
      </x:c>
    </x:row>
    <x:row r="70" ht="44" customHeight="1">
      <x:c r="A70" s="2" t="str">
        <x:v>A0065</x:v>
      </x:c>
      <x:c r="B70" s="2" t="str">
        <x:v>R012</x:v>
      </x:c>
      <x:c r="C70" s="2" t="str">
        <x:v>Disposition</x:v>
      </x:c>
      <x:c r="D70" s="16" t="str">
        <x:v>[unclassified]</x:v>
      </x:c>
      <x:c r="E70" s="16" t="str">
        <x:v>Ready</x:v>
      </x:c>
      <x:c r="F70" s="14" t="str">
        <x:v>Classified</x:v>
      </x:c>
      <x:c r="G70" s="14" t="str">
        <x:v>Required fields valid and no identity or same-bin conflict.</x:v>
      </x:c>
    </x:row>
    <x:row r="71" ht="44" customHeight="1">
      <x:c r="A71" s="2" t="str">
        <x:v>A0066</x:v>
      </x:c>
      <x:c r="B71" s="2" t="str">
        <x:v>R013</x:v>
      </x:c>
      <x:c r="C71" s="2" t="str">
        <x:v>SKU</x:v>
      </x:c>
      <x:c r="D71" s="16" t="str">
        <x:v> grease-ep2 </x:v>
      </x:c>
      <x:c r="E71" s="16" t="str">
        <x:v>GREASE-EP2</x:v>
      </x:c>
      <x:c r="F71" s="14" t="str">
        <x:v>Normalized</x:v>
      </x:c>
      <x:c r="G71" s="14" t="str">
        <x:v>Trim whitespace and uppercase only. Punctuation and leading zeros retained.</x:v>
      </x:c>
    </x:row>
    <x:row r="72" ht="44" customHeight="1">
      <x:c r="A72" s="2" t="str">
        <x:v>A0067</x:v>
      </x:c>
      <x:c r="B72" s="2" t="str">
        <x:v>R013</x:v>
      </x:c>
      <x:c r="C72" s="2" t="str">
        <x:v>Description</x:v>
      </x:c>
      <x:c r="D72" s="16" t="str">
        <x:v> EP2  grease </x:v>
      </x:c>
      <x:c r="E72" s="16" t="str">
        <x:v>EP2 grease</x:v>
      </x:c>
      <x:c r="F72" s="14" t="str">
        <x:v>Normalized</x:v>
      </x:c>
      <x:c r="G72" s="14" t="str">
        <x:v>Collapse whitespace only. Conflicting descriptions withheld.</x:v>
      </x:c>
    </x:row>
    <x:row r="73" ht="44" customHeight="1">
      <x:c r="A73" s="2" t="str">
        <x:v>A0068</x:v>
      </x:c>
      <x:c r="B73" s="2" t="str">
        <x:v>R013</x:v>
      </x:c>
      <x:c r="C73" s="2" t="str">
        <x:v>Bin</x:v>
      </x:c>
      <x:c r="D73" s="16" t="str">
        <x:v> a-13 </x:v>
      </x:c>
      <x:c r="E73" s="16" t="str">
        <x:v>A-13</x:v>
      </x:c>
      <x:c r="F73" s="14" t="str">
        <x:v>Normalized</x:v>
      </x:c>
      <x:c r="G73" s="14" t="str">
        <x:v>Trim whitespace and uppercase.</x:v>
      </x:c>
    </x:row>
    <x:row r="74" ht="44" customHeight="1">
      <x:c r="A74" s="2" t="str">
        <x:v>A0069</x:v>
      </x:c>
      <x:c r="B74" s="2" t="str">
        <x:v>R013</x:v>
      </x:c>
      <x:c r="C74" s="2" t="str">
        <x:v>Qty</x:v>
      </x:c>
      <x:c r="D74" s="16" t="str">
        <x:v>28.5</x:v>
      </x:c>
      <x:c r="E74" s="16" t="str">
        <x:v>28.5</x:v>
      </x:c>
      <x:c r="F74" s="14" t="str">
        <x:v>Typed number</x:v>
      </x:c>
      <x:c r="G74" s="14" t="str">
        <x:v>Parse explicit nonnegative number. Uncertain or negative values withheld.</x:v>
      </x:c>
    </x:row>
    <x:row r="75" ht="44" customHeight="1">
      <x:c r="A75" s="2" t="str">
        <x:v>A0070</x:v>
      </x:c>
      <x:c r="B75" s="2" t="str">
        <x:v>R013</x:v>
      </x:c>
      <x:c r="C75" s="2" t="str">
        <x:v>UOM</x:v>
      </x:c>
      <x:c r="D75" s="16" t="str">
        <x:v>kg</x:v>
      </x:c>
      <x:c r="E75" s="16" t="str">
        <x:v>KG</x:v>
      </x:c>
      <x:c r="F75" s="14" t="str">
        <x:v>Normalized</x:v>
      </x:c>
      <x:c r="G75" s="14" t="str">
        <x:v>Map explicit synonyms. No pack-size conversion.</x:v>
      </x:c>
    </x:row>
    <x:row r="76" ht="44" customHeight="1">
      <x:c r="A76" s="2" t="str">
        <x:v>A0071</x:v>
      </x:c>
      <x:c r="B76" s="2" t="str">
        <x:v>R013</x:v>
      </x:c>
      <x:c r="C76" s="2" t="str">
        <x:v>Unit cost USD</x:v>
      </x:c>
      <x:c r="D76" s="16" t="str">
        <x:v>$7.90</x:v>
      </x:c>
      <x:c r="E76" s="16" t="str">
        <x:v>7.9</x:v>
      </x:c>
      <x:c r="F76" s="14" t="str">
        <x:v>Typed number</x:v>
      </x:c>
      <x:c r="G76" s="14" t="str">
        <x:v>Parse explicit USD numeric amount. Missing cost stays blank.</x:v>
      </x:c>
    </x:row>
    <x:row r="77" ht="44" customHeight="1">
      <x:c r="A77" s="2" t="str">
        <x:v>A0072</x:v>
      </x:c>
      <x:c r="B77" s="2" t="str">
        <x:v>R013</x:v>
      </x:c>
      <x:c r="C77" s="2" t="str">
        <x:v>Disposition</x:v>
      </x:c>
      <x:c r="D77" s="16" t="str">
        <x:v>[unclassified]</x:v>
      </x:c>
      <x:c r="E77" s="16" t="str">
        <x:v>Ready</x:v>
      </x:c>
      <x:c r="F77" s="14" t="str">
        <x:v>Classified</x:v>
      </x:c>
      <x:c r="G77" s="14" t="str">
        <x:v>Required fields valid and no identity or same-bin conflict.</x:v>
      </x:c>
    </x:row>
    <x:row r="78" ht="44" customHeight="1">
      <x:c r="A78" s="2" t="str">
        <x:v>A0073</x:v>
      </x:c>
      <x:c r="B78" s="2" t="str">
        <x:v>R014</x:v>
      </x:c>
      <x:c r="C78" s="2" t="str">
        <x:v>Bin</x:v>
      </x:c>
      <x:c r="D78" s="16" t="str">
        <x:v> a-14 </x:v>
      </x:c>
      <x:c r="E78" s="16" t="str">
        <x:v>A-14</x:v>
      </x:c>
      <x:c r="F78" s="14" t="str">
        <x:v>Normalized</x:v>
      </x:c>
      <x:c r="G78" s="14" t="str">
        <x:v>Trim whitespace and uppercase.</x:v>
      </x:c>
    </x:row>
    <x:row r="79" ht="44" customHeight="1">
      <x:c r="A79" s="2" t="str">
        <x:v>A0074</x:v>
      </x:c>
      <x:c r="B79" s="2" t="str">
        <x:v>R014</x:v>
      </x:c>
      <x:c r="C79" s="2" t="str">
        <x:v>Qty</x:v>
      </x:c>
      <x:c r="D79" s="16" t="str">
        <x:v>34</x:v>
      </x:c>
      <x:c r="E79" s="16" t="str">
        <x:v>34</x:v>
      </x:c>
      <x:c r="F79" s="14" t="str">
        <x:v>Typed number</x:v>
      </x:c>
      <x:c r="G79" s="14" t="str">
        <x:v>Parse explicit nonnegative number. Uncertain or negative values withheld.</x:v>
      </x:c>
    </x:row>
    <x:row r="80" ht="44" customHeight="1">
      <x:c r="A80" s="2" t="str">
        <x:v>A0075</x:v>
      </x:c>
      <x:c r="B80" s="2" t="str">
        <x:v>R014</x:v>
      </x:c>
      <x:c r="C80" s="2" t="str">
        <x:v>Unit cost USD</x:v>
      </x:c>
      <x:c r="D80" s="16" t="str">
        <x:v>5.6</x:v>
      </x:c>
      <x:c r="E80" s="16" t="str">
        <x:v>5.6</x:v>
      </x:c>
      <x:c r="F80" s="14" t="str">
        <x:v>Typed number</x:v>
      </x:c>
      <x:c r="G80" s="14" t="str">
        <x:v>Parse explicit USD numeric amount. Missing cost stays blank.</x:v>
      </x:c>
    </x:row>
    <x:row r="81" ht="44" customHeight="1">
      <x:c r="A81" s="2" t="str">
        <x:v>A0076</x:v>
      </x:c>
      <x:c r="B81" s="2" t="str">
        <x:v>R014</x:v>
      </x:c>
      <x:c r="C81" s="2" t="str">
        <x:v>Count date</x:v>
      </x:c>
      <x:c r="D81" s="16" t="str">
        <x:v>30 Sep 2026</x:v>
      </x:c>
      <x:c r="E81" s="16" t="str">
        <x:v>2026-09-30</x:v>
      </x:c>
      <x:c r="F81" s="14" t="str">
        <x:v>Normalized</x:v>
      </x:c>
      <x:c r="G81" s="14" t="str">
        <x:v>Parse ISO or spelled-month date only. Ambiguous or invalid date withheld.</x:v>
      </x:c>
    </x:row>
    <x:row r="82" ht="44" customHeight="1">
      <x:c r="A82" s="2" t="str">
        <x:v>A0077</x:v>
      </x:c>
      <x:c r="B82" s="2" t="str">
        <x:v>R014</x:v>
      </x:c>
      <x:c r="C82" s="2" t="str">
        <x:v>Disposition</x:v>
      </x:c>
      <x:c r="D82" s="16" t="str">
        <x:v>[unclassified]</x:v>
      </x:c>
      <x:c r="E82" s="16" t="str">
        <x:v>Ready</x:v>
      </x:c>
      <x:c r="F82" s="14" t="str">
        <x:v>Classified</x:v>
      </x:c>
      <x:c r="G82" s="14" t="str">
        <x:v>Required fields valid and no identity or same-bin conflict.</x:v>
      </x:c>
    </x:row>
    <x:row r="83" ht="44" customHeight="1">
      <x:c r="A83" s="2" t="str">
        <x:v>A0078</x:v>
      </x:c>
      <x:c r="B83" s="2" t="str">
        <x:v>R015</x:v>
      </x:c>
      <x:c r="C83" s="2" t="str">
        <x:v>Bin</x:v>
      </x:c>
      <x:c r="D83" s="16" t="str">
        <x:v> a-15 </x:v>
      </x:c>
      <x:c r="E83" s="16" t="str">
        <x:v>A-15</x:v>
      </x:c>
      <x:c r="F83" s="14" t="str">
        <x:v>Normalized</x:v>
      </x:c>
      <x:c r="G83" s="14" t="str">
        <x:v>Trim whitespace and uppercase.</x:v>
      </x:c>
    </x:row>
    <x:row r="84" ht="44" customHeight="1">
      <x:c r="A84" s="2" t="str">
        <x:v>A0079</x:v>
      </x:c>
      <x:c r="B84" s="2" t="str">
        <x:v>R015</x:v>
      </x:c>
      <x:c r="C84" s="2" t="str">
        <x:v>Qty</x:v>
      </x:c>
      <x:c r="D84" s="16" t="str">
        <x:v>9</x:v>
      </x:c>
      <x:c r="E84" s="16" t="str">
        <x:v>9</x:v>
      </x:c>
      <x:c r="F84" s="14" t="str">
        <x:v>Typed number</x:v>
      </x:c>
      <x:c r="G84" s="14" t="str">
        <x:v>Parse explicit nonnegative number. Uncertain or negative values withheld.</x:v>
      </x:c>
    </x:row>
    <x:row r="85" ht="44" customHeight="1">
      <x:c r="A85" s="2" t="str">
        <x:v>A0080</x:v>
      </x:c>
      <x:c r="B85" s="2" t="str">
        <x:v>R015</x:v>
      </x:c>
      <x:c r="C85" s="2" t="str">
        <x:v>Unit cost USD</x:v>
      </x:c>
      <x:c r="D85" s="16" t="str">
        <x:v>31</x:v>
      </x:c>
      <x:c r="E85" s="16" t="str">
        <x:v>31</x:v>
      </x:c>
      <x:c r="F85" s="14" t="str">
        <x:v>Typed number</x:v>
      </x:c>
      <x:c r="G85" s="14" t="str">
        <x:v>Parse explicit USD numeric amount. Missing cost stays blank.</x:v>
      </x:c>
    </x:row>
    <x:row r="86" ht="44" customHeight="1">
      <x:c r="A86" s="2" t="str">
        <x:v>A0081</x:v>
      </x:c>
      <x:c r="B86" s="2" t="str">
        <x:v>R015</x:v>
      </x:c>
      <x:c r="C86" s="2" t="str">
        <x:v>Disposition</x:v>
      </x:c>
      <x:c r="D86" s="16" t="str">
        <x:v>[unclassified]</x:v>
      </x:c>
      <x:c r="E86" s="16" t="str">
        <x:v>Ready</x:v>
      </x:c>
      <x:c r="F86" s="14" t="str">
        <x:v>Classified</x:v>
      </x:c>
      <x:c r="G86" s="14" t="str">
        <x:v>Required fields valid and no identity or same-bin conflict.</x:v>
      </x:c>
    </x:row>
    <x:row r="87" ht="44" customHeight="1">
      <x:c r="A87" s="2" t="str">
        <x:v>A0082</x:v>
      </x:c>
      <x:c r="B87" s="2" t="str">
        <x:v>R016</x:v>
      </x:c>
      <x:c r="C87" s="2" t="str">
        <x:v>SKU</x:v>
      </x:c>
      <x:c r="D87" s="16" t="str">
        <x:v> 127 </x:v>
      </x:c>
      <x:c r="E87" s="16" t="str">
        <x:v>127</x:v>
      </x:c>
      <x:c r="F87" s="14" t="str">
        <x:v>Normalized</x:v>
      </x:c>
      <x:c r="G87" s="14" t="str">
        <x:v>Trim whitespace and uppercase only. Punctuation and leading zeros retained.</x:v>
      </x:c>
    </x:row>
    <x:row r="88" ht="44" customHeight="1">
      <x:c r="A88" s="2" t="str">
        <x:v>A0083</x:v>
      </x:c>
      <x:c r="B88" s="2" t="str">
        <x:v>R016</x:v>
      </x:c>
      <x:c r="C88" s="2" t="str">
        <x:v>Bin</x:v>
      </x:c>
      <x:c r="D88" s="16" t="str">
        <x:v> a-16 </x:v>
      </x:c>
      <x:c r="E88" s="16" t="str">
        <x:v>A-16</x:v>
      </x:c>
      <x:c r="F88" s="14" t="str">
        <x:v>Normalized</x:v>
      </x:c>
      <x:c r="G88" s="14" t="str">
        <x:v>Trim whitespace and uppercase.</x:v>
      </x:c>
    </x:row>
    <x:row r="89" ht="44" customHeight="1">
      <x:c r="A89" s="2" t="str">
        <x:v>A0084</x:v>
      </x:c>
      <x:c r="B89" s="2" t="str">
        <x:v>R016</x:v>
      </x:c>
      <x:c r="C89" s="2" t="str">
        <x:v>Qty</x:v>
      </x:c>
      <x:c r="D89" s="16" t="str">
        <x:v> 16 </x:v>
      </x:c>
      <x:c r="E89" s="16" t="str">
        <x:v>16</x:v>
      </x:c>
      <x:c r="F89" s="14" t="str">
        <x:v>Typed number</x:v>
      </x:c>
      <x:c r="G89" s="14" t="str">
        <x:v>Parse explicit nonnegative number. Uncertain or negative values withheld.</x:v>
      </x:c>
    </x:row>
    <x:row r="90" ht="44" customHeight="1">
      <x:c r="A90" s="2" t="str">
        <x:v>A0085</x:v>
      </x:c>
      <x:c r="B90" s="2" t="str">
        <x:v>R016</x:v>
      </x:c>
      <x:c r="C90" s="2" t="str">
        <x:v>UOM</x:v>
      </x:c>
      <x:c r="D90" s="16" t="str">
        <x:v>each</x:v>
      </x:c>
      <x:c r="E90" s="16" t="str">
        <x:v>EA</x:v>
      </x:c>
      <x:c r="F90" s="14" t="str">
        <x:v>Normalized</x:v>
      </x:c>
      <x:c r="G90" s="14" t="str">
        <x:v>Map explicit synonyms. No pack-size conversion.</x:v>
      </x:c>
    </x:row>
    <x:row r="91" ht="44" customHeight="1">
      <x:c r="A91" s="2" t="str">
        <x:v>A0086</x:v>
      </x:c>
      <x:c r="B91" s="2" t="str">
        <x:v>R016</x:v>
      </x:c>
      <x:c r="C91" s="2" t="str">
        <x:v>Unit cost USD</x:v>
      </x:c>
      <x:c r="D91" s="16" t="str">
        <x:v>34</x:v>
      </x:c>
      <x:c r="E91" s="16" t="str">
        <x:v>34</x:v>
      </x:c>
      <x:c r="F91" s="14" t="str">
        <x:v>Typed number</x:v>
      </x:c>
      <x:c r="G91" s="14" t="str">
        <x:v>Parse explicit USD numeric amount. Missing cost stays blank.</x:v>
      </x:c>
    </x:row>
    <x:row r="92" ht="44" customHeight="1">
      <x:c r="A92" s="2" t="str">
        <x:v>A0087</x:v>
      </x:c>
      <x:c r="B92" s="2" t="str">
        <x:v>R016</x:v>
      </x:c>
      <x:c r="C92" s="2" t="str">
        <x:v>Count date</x:v>
      </x:c>
      <x:c r="D92" s="16" t="str">
        <x:v>30 Sep 2026</x:v>
      </x:c>
      <x:c r="E92" s="16" t="str">
        <x:v>2026-09-30</x:v>
      </x:c>
      <x:c r="F92" s="14" t="str">
        <x:v>Normalized</x:v>
      </x:c>
      <x:c r="G92" s="14" t="str">
        <x:v>Parse ISO or spelled-month date only. Ambiguous or invalid date withheld.</x:v>
      </x:c>
    </x:row>
    <x:row r="93" ht="44" customHeight="1">
      <x:c r="A93" s="2" t="str">
        <x:v>A0088</x:v>
      </x:c>
      <x:c r="B93" s="2" t="str">
        <x:v>R016</x:v>
      </x:c>
      <x:c r="C93" s="2" t="str">
        <x:v>Disposition</x:v>
      </x:c>
      <x:c r="D93" s="16" t="str">
        <x:v>[unclassified]</x:v>
      </x:c>
      <x:c r="E93" s="16" t="str">
        <x:v>Ready</x:v>
      </x:c>
      <x:c r="F93" s="14" t="str">
        <x:v>Classified</x:v>
      </x:c>
      <x:c r="G93" s="14" t="str">
        <x:v>Required fields valid and no identity or same-bin conflict.</x:v>
      </x:c>
    </x:row>
    <x:row r="94" ht="44" customHeight="1">
      <x:c r="A94" s="2" t="str">
        <x:v>A0089</x:v>
      </x:c>
      <x:c r="B94" s="2" t="str">
        <x:v>R017</x:v>
      </x:c>
      <x:c r="C94" s="2" t="str">
        <x:v>Description</x:v>
      </x:c>
      <x:c r="D94" s="16" t="str">
        <x:v> Bearing  6205,  rubber  seals </x:v>
      </x:c>
      <x:c r="E94" s="16" t="str">
        <x:v>Bearing 6205, rubber seals</x:v>
      </x:c>
      <x:c r="F94" s="14" t="str">
        <x:v>Normalized</x:v>
      </x:c>
      <x:c r="G94" s="14" t="str">
        <x:v>Collapse whitespace only. Conflicting descriptions withheld.</x:v>
      </x:c>
    </x:row>
    <x:row r="95" ht="44" customHeight="1">
      <x:c r="A95" s="2" t="str">
        <x:v>A0090</x:v>
      </x:c>
      <x:c r="B95" s="2" t="str">
        <x:v>R017</x:v>
      </x:c>
      <x:c r="C95" s="2" t="str">
        <x:v>Bin</x:v>
      </x:c>
      <x:c r="D95" s="16" t="str">
        <x:v> b-01 </x:v>
      </x:c>
      <x:c r="E95" s="16" t="str">
        <x:v>B-01</x:v>
      </x:c>
      <x:c r="F95" s="14" t="str">
        <x:v>Normalized</x:v>
      </x:c>
      <x:c r="G95" s="14" t="str">
        <x:v>Trim whitespace and uppercase.</x:v>
      </x:c>
    </x:row>
    <x:row r="96" ht="44" customHeight="1">
      <x:c r="A96" s="2" t="str">
        <x:v>A0091</x:v>
      </x:c>
      <x:c r="B96" s="2" t="str">
        <x:v>R017</x:v>
      </x:c>
      <x:c r="C96" s="2" t="str">
        <x:v>Qty</x:v>
      </x:c>
      <x:c r="D96" s="16" t="str">
        <x:v>23</x:v>
      </x:c>
      <x:c r="E96" s="16" t="str">
        <x:v>23</x:v>
      </x:c>
      <x:c r="F96" s="14" t="str">
        <x:v>Typed number</x:v>
      </x:c>
      <x:c r="G96" s="14" t="str">
        <x:v>Parse explicit nonnegative number. Uncertain or negative values withheld.</x:v>
      </x:c>
    </x:row>
    <x:row r="97" ht="44" customHeight="1">
      <x:c r="A97" s="2" t="str">
        <x:v>A0092</x:v>
      </x:c>
      <x:c r="B97" s="2" t="str">
        <x:v>R017</x:v>
      </x:c>
      <x:c r="C97" s="2" t="str">
        <x:v>Unit cost USD</x:v>
      </x:c>
      <x:c r="D97" s="16" t="str">
        <x:v>$18.50</x:v>
      </x:c>
      <x:c r="E97" s="16" t="str">
        <x:v>18.5</x:v>
      </x:c>
      <x:c r="F97" s="14" t="str">
        <x:v>Typed number</x:v>
      </x:c>
      <x:c r="G97" s="14" t="str">
        <x:v>Parse explicit USD numeric amount. Missing cost stays blank.</x:v>
      </x:c>
    </x:row>
    <x:row r="98" ht="44" customHeight="1">
      <x:c r="A98" s="2" t="str">
        <x:v>A0093</x:v>
      </x:c>
      <x:c r="B98" s="2" t="str">
        <x:v>R017</x:v>
      </x:c>
      <x:c r="C98" s="2" t="str">
        <x:v>Disposition</x:v>
      </x:c>
      <x:c r="D98" s="16" t="str">
        <x:v>[unclassified]</x:v>
      </x:c>
      <x:c r="E98" s="16" t="str">
        <x:v>Ready</x:v>
      </x:c>
      <x:c r="F98" s="14" t="str">
        <x:v>Classified</x:v>
      </x:c>
      <x:c r="G98" s="14" t="str">
        <x:v>Required fields valid and no identity or same-bin conflict.</x:v>
      </x:c>
    </x:row>
    <x:row r="99" ht="44" customHeight="1">
      <x:c r="A99" s="2" t="str">
        <x:v>A0094</x:v>
      </x:c>
      <x:c r="B99" s="2" t="str">
        <x:v>R018</x:v>
      </x:c>
      <x:c r="C99" s="2" t="str">
        <x:v>Bin</x:v>
      </x:c>
      <x:c r="D99" s="16" t="str">
        <x:v> b-02 </x:v>
      </x:c>
      <x:c r="E99" s="16" t="str">
        <x:v>B-02</x:v>
      </x:c>
      <x:c r="F99" s="14" t="str">
        <x:v>Normalized</x:v>
      </x:c>
      <x:c r="G99" s="14" t="str">
        <x:v>Trim whitespace and uppercase.</x:v>
      </x:c>
    </x:row>
    <x:row r="100" ht="44" customHeight="1">
      <x:c r="A100" s="2" t="str">
        <x:v>A0095</x:v>
      </x:c>
      <x:c r="B100" s="2" t="str">
        <x:v>R018</x:v>
      </x:c>
      <x:c r="C100" s="2" t="str">
        <x:v>Qty</x:v>
      </x:c>
      <x:c r="D100" s="16" t="str">
        <x:v>30</x:v>
      </x:c>
      <x:c r="E100" s="16" t="str">
        <x:v>30</x:v>
      </x:c>
      <x:c r="F100" s="14" t="str">
        <x:v>Typed number</x:v>
      </x:c>
      <x:c r="G100" s="14" t="str">
        <x:v>Parse explicit nonnegative number. Uncertain or negative values withheld.</x:v>
      </x:c>
    </x:row>
    <x:row r="101" ht="44" customHeight="1">
      <x:c r="A101" s="2" t="str">
        <x:v>A0096</x:v>
      </x:c>
      <x:c r="B101" s="2" t="str">
        <x:v>R018</x:v>
      </x:c>
      <x:c r="C101" s="2" t="str">
        <x:v>Unit cost USD</x:v>
      </x:c>
      <x:c r="D101" s="16" t="str">
        <x:v>16.75</x:v>
      </x:c>
      <x:c r="E101" s="16" t="str">
        <x:v>16.75</x:v>
      </x:c>
      <x:c r="F101" s="14" t="str">
        <x:v>Typed number</x:v>
      </x:c>
      <x:c r="G101" s="14" t="str">
        <x:v>Parse explicit USD numeric amount. Missing cost stays blank.</x:v>
      </x:c>
    </x:row>
    <x:row r="102" ht="44" customHeight="1">
      <x:c r="A102" s="2" t="str">
        <x:v>A0097</x:v>
      </x:c>
      <x:c r="B102" s="2" t="str">
        <x:v>R018</x:v>
      </x:c>
      <x:c r="C102" s="2" t="str">
        <x:v>Count date</x:v>
      </x:c>
      <x:c r="D102" s="16" t="str">
        <x:v>30 Sep 2026</x:v>
      </x:c>
      <x:c r="E102" s="16" t="str">
        <x:v>2026-09-30</x:v>
      </x:c>
      <x:c r="F102" s="14" t="str">
        <x:v>Normalized</x:v>
      </x:c>
      <x:c r="G102" s="14" t="str">
        <x:v>Parse ISO or spelled-month date only. Ambiguous or invalid date withheld.</x:v>
      </x:c>
    </x:row>
    <x:row r="103" ht="44" customHeight="1">
      <x:c r="A103" s="2" t="str">
        <x:v>A0098</x:v>
      </x:c>
      <x:c r="B103" s="2" t="str">
        <x:v>R018</x:v>
      </x:c>
      <x:c r="C103" s="2" t="str">
        <x:v>Disposition</x:v>
      </x:c>
      <x:c r="D103" s="16" t="str">
        <x:v>[unclassified]</x:v>
      </x:c>
      <x:c r="E103" s="16" t="str">
        <x:v>Ready</x:v>
      </x:c>
      <x:c r="F103" s="14" t="str">
        <x:v>Classified</x:v>
      </x:c>
      <x:c r="G103" s="14" t="str">
        <x:v>Required fields valid and no identity or same-bin conflict.</x:v>
      </x:c>
    </x:row>
    <x:row r="104" ht="44" customHeight="1">
      <x:c r="A104" s="2" t="str">
        <x:v>A0099</x:v>
      </x:c>
      <x:c r="B104" s="2" t="str">
        <x:v>R019</x:v>
      </x:c>
      <x:c r="C104" s="2" t="str">
        <x:v>SKU</x:v>
      </x:c>
      <x:c r="D104" s="16" t="str">
        <x:v> flt-h100 </x:v>
      </x:c>
      <x:c r="E104" s="16" t="str">
        <x:v>FLT-H100</x:v>
      </x:c>
      <x:c r="F104" s="14" t="str">
        <x:v>Normalized</x:v>
      </x:c>
      <x:c r="G104" s="14" t="str">
        <x:v>Trim whitespace and uppercase only. Punctuation and leading zeros retained.</x:v>
      </x:c>
    </x:row>
    <x:row r="105" ht="44" customHeight="1">
      <x:c r="A105" s="2" t="str">
        <x:v>A0100</x:v>
      </x:c>
      <x:c r="B105" s="2" t="str">
        <x:v>R019</x:v>
      </x:c>
      <x:c r="C105" s="2" t="str">
        <x:v>Bin</x:v>
      </x:c>
      <x:c r="D105" s="16" t="str">
        <x:v> b-03 </x:v>
      </x:c>
      <x:c r="E105" s="16" t="str">
        <x:v>B-03</x:v>
      </x:c>
      <x:c r="F105" s="14" t="str">
        <x:v>Normalized</x:v>
      </x:c>
      <x:c r="G105" s="14" t="str">
        <x:v>Trim whitespace and uppercase.</x:v>
      </x:c>
    </x:row>
    <x:row r="106" ht="44" customHeight="1">
      <x:c r="A106" s="2" t="str">
        <x:v>A0101</x:v>
      </x:c>
      <x:c r="B106" s="2" t="str">
        <x:v>R019</x:v>
      </x:c>
      <x:c r="C106" s="2" t="str">
        <x:v>Qty</x:v>
      </x:c>
      <x:c r="D106" s="16" t="str">
        <x:v>37</x:v>
      </x:c>
      <x:c r="E106" s="16" t="str">
        <x:v>37</x:v>
      </x:c>
      <x:c r="F106" s="14" t="str">
        <x:v>Typed number</x:v>
      </x:c>
      <x:c r="G106" s="14" t="str">
        <x:v>Parse explicit nonnegative number. Uncertain or negative values withheld.</x:v>
      </x:c>
    </x:row>
    <x:row r="107" ht="44" customHeight="1">
      <x:c r="A107" s="2" t="str">
        <x:v>A0102</x:v>
      </x:c>
      <x:c r="B107" s="2" t="str">
        <x:v>R019</x:v>
      </x:c>
      <x:c r="C107" s="2" t="str">
        <x:v>UOM</x:v>
      </x:c>
      <x:c r="D107" s="16" t="str">
        <x:v>each</x:v>
      </x:c>
      <x:c r="E107" s="16" t="str">
        <x:v>EA</x:v>
      </x:c>
      <x:c r="F107" s="14" t="str">
        <x:v>Normalized</x:v>
      </x:c>
      <x:c r="G107" s="14" t="str">
        <x:v>Map explicit synonyms. No pack-size conversion.</x:v>
      </x:c>
    </x:row>
    <x:row r="108" ht="44" customHeight="1">
      <x:c r="A108" s="2" t="str">
        <x:v>A0103</x:v>
      </x:c>
      <x:c r="B108" s="2" t="str">
        <x:v>R019</x:v>
      </x:c>
      <x:c r="C108" s="2" t="str">
        <x:v>Unit cost USD</x:v>
      </x:c>
      <x:c r="D108" s="16" t="str">
        <x:v>42</x:v>
      </x:c>
      <x:c r="E108" s="16" t="str">
        <x:v>42</x:v>
      </x:c>
      <x:c r="F108" s="14" t="str">
        <x:v>Typed number</x:v>
      </x:c>
      <x:c r="G108" s="14" t="str">
        <x:v>Parse explicit USD numeric amount. Missing cost stays blank.</x:v>
      </x:c>
    </x:row>
    <x:row r="109" ht="44" customHeight="1">
      <x:c r="A109" s="2" t="str">
        <x:v>A0104</x:v>
      </x:c>
      <x:c r="B109" s="2" t="str">
        <x:v>R019</x:v>
      </x:c>
      <x:c r="C109" s="2" t="str">
        <x:v>Disposition</x:v>
      </x:c>
      <x:c r="D109" s="16" t="str">
        <x:v>[unclassified]</x:v>
      </x:c>
      <x:c r="E109" s="16" t="str">
        <x:v>Ready</x:v>
      </x:c>
      <x:c r="F109" s="14" t="str">
        <x:v>Classified</x:v>
      </x:c>
      <x:c r="G109" s="14" t="str">
        <x:v>Required fields valid and no identity or same-bin conflict.</x:v>
      </x:c>
    </x:row>
    <x:row r="110" ht="44" customHeight="1">
      <x:c r="A110" s="2" t="str">
        <x:v>A0105</x:v>
      </x:c>
      <x:c r="B110" s="2" t="str">
        <x:v>R020</x:v>
      </x:c>
      <x:c r="C110" s="2" t="str">
        <x:v>Bin</x:v>
      </x:c>
      <x:c r="D110" s="16" t="str">
        <x:v> b-04 </x:v>
      </x:c>
      <x:c r="E110" s="16" t="str">
        <x:v>B-04</x:v>
      </x:c>
      <x:c r="F110" s="14" t="str">
        <x:v>Normalized</x:v>
      </x:c>
      <x:c r="G110" s="14" t="str">
        <x:v>Trim whitespace and uppercase.</x:v>
      </x:c>
    </x:row>
    <x:row r="111" ht="44" customHeight="1">
      <x:c r="A111" s="2" t="str">
        <x:v>A0106</x:v>
      </x:c>
      <x:c r="B111" s="2" t="str">
        <x:v>R020</x:v>
      </x:c>
      <x:c r="C111" s="2" t="str">
        <x:v>Qty</x:v>
      </x:c>
      <x:c r="D111" s="16" t="str">
        <x:v>44</x:v>
      </x:c>
      <x:c r="E111" s="16" t="str">
        <x:v>44</x:v>
      </x:c>
      <x:c r="F111" s="14" t="str">
        <x:v>Typed number</x:v>
      </x:c>
      <x:c r="G111" s="14" t="str">
        <x:v>Parse explicit nonnegative number. Uncertain or negative values withheld.</x:v>
      </x:c>
    </x:row>
    <x:row r="112" ht="44" customHeight="1">
      <x:c r="A112" s="2" t="str">
        <x:v>A0107</x:v>
      </x:c>
      <x:c r="B112" s="2" t="str">
        <x:v>R020</x:v>
      </x:c>
      <x:c r="C112" s="2" t="str">
        <x:v>Unit cost USD</x:v>
      </x:c>
      <x:c r="D112" s="16" t="str">
        <x:v>46.8</x:v>
      </x:c>
      <x:c r="E112" s="16" t="str">
        <x:v>46.8</x:v>
      </x:c>
      <x:c r="F112" s="14" t="str">
        <x:v>Typed number</x:v>
      </x:c>
      <x:c r="G112" s="14" t="str">
        <x:v>Parse explicit USD numeric amount. Missing cost stays blank.</x:v>
      </x:c>
    </x:row>
    <x:row r="113" ht="44" customHeight="1">
      <x:c r="A113" s="2" t="str">
        <x:v>A0108</x:v>
      </x:c>
      <x:c r="B113" s="2" t="str">
        <x:v>R020</x:v>
      </x:c>
      <x:c r="C113" s="2" t="str">
        <x:v>Count date</x:v>
      </x:c>
      <x:c r="D113" s="16" t="str">
        <x:v>30 Sep 2026</x:v>
      </x:c>
      <x:c r="E113" s="16" t="str">
        <x:v>2026-09-30</x:v>
      </x:c>
      <x:c r="F113" s="14" t="str">
        <x:v>Normalized</x:v>
      </x:c>
      <x:c r="G113" s="14" t="str">
        <x:v>Parse ISO or spelled-month date only. Ambiguous or invalid date withheld.</x:v>
      </x:c>
    </x:row>
    <x:row r="114" ht="44" customHeight="1">
      <x:c r="A114" s="2" t="str">
        <x:v>A0109</x:v>
      </x:c>
      <x:c r="B114" s="2" t="str">
        <x:v>R020</x:v>
      </x:c>
      <x:c r="C114" s="2" t="str">
        <x:v>Disposition</x:v>
      </x:c>
      <x:c r="D114" s="16" t="str">
        <x:v>[unclassified]</x:v>
      </x:c>
      <x:c r="E114" s="16" t="str">
        <x:v>Ready</x:v>
      </x:c>
      <x:c r="F114" s="14" t="str">
        <x:v>Classified</x:v>
      </x:c>
      <x:c r="G114" s="14" t="str">
        <x:v>Required fields valid and no identity or same-bin conflict.</x:v>
      </x:c>
    </x:row>
    <x:row r="115" ht="44" customHeight="1">
      <x:c r="A115" s="2" t="str">
        <x:v>A0110</x:v>
      </x:c>
      <x:c r="B115" s="2" t="str">
        <x:v>R021</x:v>
      </x:c>
      <x:c r="C115" s="2" t="str">
        <x:v>Description</x:v>
      </x:c>
      <x:c r="D115" s="16" t="str">
        <x:v> V-belt  B42 </x:v>
      </x:c>
      <x:c r="E115" s="16" t="str">
        <x:v>V-belt B42</x:v>
      </x:c>
      <x:c r="F115" s="14" t="str">
        <x:v>Normalized</x:v>
      </x:c>
      <x:c r="G115" s="14" t="str">
        <x:v>Collapse whitespace only. Conflicting descriptions withheld.</x:v>
      </x:c>
    </x:row>
    <x:row r="116" ht="44" customHeight="1">
      <x:c r="A116" s="2" t="str">
        <x:v>A0111</x:v>
      </x:c>
      <x:c r="B116" s="2" t="str">
        <x:v>R021</x:v>
      </x:c>
      <x:c r="C116" s="2" t="str">
        <x:v>Bin</x:v>
      </x:c>
      <x:c r="D116" s="16" t="str">
        <x:v> b-05 </x:v>
      </x:c>
      <x:c r="E116" s="16" t="str">
        <x:v>B-05</x:v>
      </x:c>
      <x:c r="F116" s="14" t="str">
        <x:v>Normalized</x:v>
      </x:c>
      <x:c r="G116" s="14" t="str">
        <x:v>Trim whitespace and uppercase.</x:v>
      </x:c>
    </x:row>
    <x:row r="117" ht="44" customHeight="1">
      <x:c r="A117" s="2" t="str">
        <x:v>A0112</x:v>
      </x:c>
      <x:c r="B117" s="2" t="str">
        <x:v>R021</x:v>
      </x:c>
      <x:c r="C117" s="2" t="str">
        <x:v>Qty</x:v>
      </x:c>
      <x:c r="D117" s="16" t="str">
        <x:v> 6 </x:v>
      </x:c>
      <x:c r="E117" s="16" t="str">
        <x:v>6</x:v>
      </x:c>
      <x:c r="F117" s="14" t="str">
        <x:v>Typed number</x:v>
      </x:c>
      <x:c r="G117" s="14" t="str">
        <x:v>Parse explicit nonnegative number. Uncertain or negative values withheld.</x:v>
      </x:c>
    </x:row>
    <x:row r="118" ht="44" customHeight="1">
      <x:c r="A118" s="2" t="str">
        <x:v>A0113</x:v>
      </x:c>
      <x:c r="B118" s="2" t="str">
        <x:v>R021</x:v>
      </x:c>
      <x:c r="C118" s="2" t="str">
        <x:v>Unit cost USD</x:v>
      </x:c>
      <x:c r="D118" s="16" t="str">
        <x:v>$23.40</x:v>
      </x:c>
      <x:c r="E118" s="16" t="str">
        <x:v>23.4</x:v>
      </x:c>
      <x:c r="F118" s="14" t="str">
        <x:v>Typed number</x:v>
      </x:c>
      <x:c r="G118" s="14" t="str">
        <x:v>Parse explicit USD numeric amount. Missing cost stays blank.</x:v>
      </x:c>
    </x:row>
    <x:row r="119" ht="44" customHeight="1">
      <x:c r="A119" s="2" t="str">
        <x:v>A0114</x:v>
      </x:c>
      <x:c r="B119" s="2" t="str">
        <x:v>R021</x:v>
      </x:c>
      <x:c r="C119" s="2" t="str">
        <x:v>Disposition</x:v>
      </x:c>
      <x:c r="D119" s="16" t="str">
        <x:v>[unclassified]</x:v>
      </x:c>
      <x:c r="E119" s="16" t="str">
        <x:v>Ready</x:v>
      </x:c>
      <x:c r="F119" s="14" t="str">
        <x:v>Classified</x:v>
      </x:c>
      <x:c r="G119" s="14" t="str">
        <x:v>Required fields valid and no identity or same-bin conflict.</x:v>
      </x:c>
    </x:row>
    <x:row r="120" ht="44" customHeight="1">
      <x:c r="A120" s="2" t="str">
        <x:v>A0115</x:v>
      </x:c>
      <x:c r="B120" s="2" t="str">
        <x:v>R022</x:v>
      </x:c>
      <x:c r="C120" s="2" t="str">
        <x:v>SKU</x:v>
      </x:c>
      <x:c r="D120" s="16" t="str">
        <x:v> belt-b43 </x:v>
      </x:c>
      <x:c r="E120" s="16" t="str">
        <x:v>BELT-B43</x:v>
      </x:c>
      <x:c r="F120" s="14" t="str">
        <x:v>Normalized</x:v>
      </x:c>
      <x:c r="G120" s="14" t="str">
        <x:v>Trim whitespace and uppercase only. Punctuation and leading zeros retained.</x:v>
      </x:c>
    </x:row>
    <x:row r="121" ht="44" customHeight="1">
      <x:c r="A121" s="2" t="str">
        <x:v>A0116</x:v>
      </x:c>
      <x:c r="B121" s="2" t="str">
        <x:v>R022</x:v>
      </x:c>
      <x:c r="C121" s="2" t="str">
        <x:v>Bin</x:v>
      </x:c>
      <x:c r="D121" s="16" t="str">
        <x:v> b-06 </x:v>
      </x:c>
      <x:c r="E121" s="16" t="str">
        <x:v>B-06</x:v>
      </x:c>
      <x:c r="F121" s="14" t="str">
        <x:v>Normalized</x:v>
      </x:c>
      <x:c r="G121" s="14" t="str">
        <x:v>Trim whitespace and uppercase.</x:v>
      </x:c>
    </x:row>
    <x:row r="122" ht="44" customHeight="1">
      <x:c r="A122" s="2" t="str">
        <x:v>A0117</x:v>
      </x:c>
      <x:c r="B122" s="2" t="str">
        <x:v>R022</x:v>
      </x:c>
      <x:c r="C122" s="2" t="str">
        <x:v>Qty</x:v>
      </x:c>
      <x:c r="D122" s="16" t="str">
        <x:v>13</x:v>
      </x:c>
      <x:c r="E122" s="16" t="str">
        <x:v>13</x:v>
      </x:c>
      <x:c r="F122" s="14" t="str">
        <x:v>Typed number</x:v>
      </x:c>
      <x:c r="G122" s="14" t="str">
        <x:v>Parse explicit nonnegative number. Uncertain or negative values withheld.</x:v>
      </x:c>
    </x:row>
    <x:row r="123" ht="44" customHeight="1">
      <x:c r="A123" s="2" t="str">
        <x:v>A0118</x:v>
      </x:c>
      <x:c r="B123" s="2" t="str">
        <x:v>R022</x:v>
      </x:c>
      <x:c r="C123" s="2" t="str">
        <x:v>UOM</x:v>
      </x:c>
      <x:c r="D123" s="16" t="str">
        <x:v>each</x:v>
      </x:c>
      <x:c r="E123" s="16" t="str">
        <x:v>EA</x:v>
      </x:c>
      <x:c r="F123" s="14" t="str">
        <x:v>Normalized</x:v>
      </x:c>
      <x:c r="G123" s="14" t="str">
        <x:v>Map explicit synonyms. No pack-size conversion.</x:v>
      </x:c>
    </x:row>
    <x:row r="124" ht="44" customHeight="1">
      <x:c r="A124" s="2" t="str">
        <x:v>A0119</x:v>
      </x:c>
      <x:c r="B124" s="2" t="str">
        <x:v>R022</x:v>
      </x:c>
      <x:c r="C124" s="2" t="str">
        <x:v>Unit cost USD</x:v>
      </x:c>
      <x:c r="D124" s="16" t="str">
        <x:v>24.2</x:v>
      </x:c>
      <x:c r="E124" s="16" t="str">
        <x:v>24.2</x:v>
      </x:c>
      <x:c r="F124" s="14" t="str">
        <x:v>Typed number</x:v>
      </x:c>
      <x:c r="G124" s="14" t="str">
        <x:v>Parse explicit USD numeric amount. Missing cost stays blank.</x:v>
      </x:c>
    </x:row>
    <x:row r="125" ht="44" customHeight="1">
      <x:c r="A125" s="2" t="str">
        <x:v>A0120</x:v>
      </x:c>
      <x:c r="B125" s="2" t="str">
        <x:v>R022</x:v>
      </x:c>
      <x:c r="C125" s="2" t="str">
        <x:v>Count date</x:v>
      </x:c>
      <x:c r="D125" s="16" t="str">
        <x:v>30 Sep 2026</x:v>
      </x:c>
      <x:c r="E125" s="16" t="str">
        <x:v>2026-09-30</x:v>
      </x:c>
      <x:c r="F125" s="14" t="str">
        <x:v>Normalized</x:v>
      </x:c>
      <x:c r="G125" s="14" t="str">
        <x:v>Parse ISO or spelled-month date only. Ambiguous or invalid date withheld.</x:v>
      </x:c>
    </x:row>
    <x:row r="126" ht="44" customHeight="1">
      <x:c r="A126" s="2" t="str">
        <x:v>A0121</x:v>
      </x:c>
      <x:c r="B126" s="2" t="str">
        <x:v>R022</x:v>
      </x:c>
      <x:c r="C126" s="2" t="str">
        <x:v>Disposition</x:v>
      </x:c>
      <x:c r="D126" s="16" t="str">
        <x:v>[unclassified]</x:v>
      </x:c>
      <x:c r="E126" s="16" t="str">
        <x:v>Ready</x:v>
      </x:c>
      <x:c r="F126" s="14" t="str">
        <x:v>Classified</x:v>
      </x:c>
      <x:c r="G126" s="14" t="str">
        <x:v>Required fields valid and no identity or same-bin conflict.</x:v>
      </x:c>
    </x:row>
    <x:row r="127" ht="44" customHeight="1">
      <x:c r="A127" s="2" t="str">
        <x:v>A0122</x:v>
      </x:c>
      <x:c r="B127" s="2" t="str">
        <x:v>R023</x:v>
      </x:c>
      <x:c r="C127" s="2" t="str">
        <x:v>Bin</x:v>
      </x:c>
      <x:c r="D127" s="16" t="str">
        <x:v> b-07 </x:v>
      </x:c>
      <x:c r="E127" s="16" t="str">
        <x:v>B-07</x:v>
      </x:c>
      <x:c r="F127" s="14" t="str">
        <x:v>Normalized</x:v>
      </x:c>
      <x:c r="G127" s="14" t="str">
        <x:v>Trim whitespace and uppercase.</x:v>
      </x:c>
    </x:row>
    <x:row r="128" ht="44" customHeight="1">
      <x:c r="A128" s="2" t="str">
        <x:v>A0123</x:v>
      </x:c>
      <x:c r="B128" s="2" t="str">
        <x:v>R023</x:v>
      </x:c>
      <x:c r="C128" s="2" t="str">
        <x:v>Qty</x:v>
      </x:c>
      <x:c r="D128" s="16" t="str">
        <x:v>20</x:v>
      </x:c>
      <x:c r="E128" s="16" t="str">
        <x:v>20</x:v>
      </x:c>
      <x:c r="F128" s="14" t="str">
        <x:v>Typed number</x:v>
      </x:c>
      <x:c r="G128" s="14" t="str">
        <x:v>Parse explicit nonnegative number. Uncertain or negative values withheld.</x:v>
      </x:c>
    </x:row>
    <x:row r="129" ht="44" customHeight="1">
      <x:c r="A129" s="2" t="str">
        <x:v>A0124</x:v>
      </x:c>
      <x:c r="B129" s="2" t="str">
        <x:v>R023</x:v>
      </x:c>
      <x:c r="C129" s="2" t="str">
        <x:v>Unit cost USD</x:v>
      </x:c>
      <x:c r="D129" s="16" t="str">
        <x:v>8.6</x:v>
      </x:c>
      <x:c r="E129" s="16" t="str">
        <x:v>8.6</x:v>
      </x:c>
      <x:c r="F129" s="14" t="str">
        <x:v>Typed number</x:v>
      </x:c>
      <x:c r="G129" s="14" t="str">
        <x:v>Parse explicit USD numeric amount. Missing cost stays blank.</x:v>
      </x:c>
    </x:row>
    <x:row r="130" ht="44" customHeight="1">
      <x:c r="A130" s="2" t="str">
        <x:v>A0125</x:v>
      </x:c>
      <x:c r="B130" s="2" t="str">
        <x:v>R023</x:v>
      </x:c>
      <x:c r="C130" s="2" t="str">
        <x:v>Disposition</x:v>
      </x:c>
      <x:c r="D130" s="16" t="str">
        <x:v>[unclassified]</x:v>
      </x:c>
      <x:c r="E130" s="16" t="str">
        <x:v>Ready</x:v>
      </x:c>
      <x:c r="F130" s="14" t="str">
        <x:v>Classified</x:v>
      </x:c>
      <x:c r="G130" s="14" t="str">
        <x:v>Required fields valid and no identity or same-bin conflict.</x:v>
      </x:c>
    </x:row>
    <x:row r="131" ht="44" customHeight="1">
      <x:c r="A131" s="2" t="str">
        <x:v>A0126</x:v>
      </x:c>
      <x:c r="B131" s="2" t="str">
        <x:v>R024</x:v>
      </x:c>
      <x:c r="C131" s="2" t="str">
        <x:v>Bin</x:v>
      </x:c>
      <x:c r="D131" s="16" t="str">
        <x:v> b-08 </x:v>
      </x:c>
      <x:c r="E131" s="16" t="str">
        <x:v>B-08</x:v>
      </x:c>
      <x:c r="F131" s="14" t="str">
        <x:v>Normalized</x:v>
      </x:c>
      <x:c r="G131" s="14" t="str">
        <x:v>Trim whitespace and uppercase.</x:v>
      </x:c>
    </x:row>
    <x:row r="132" ht="44" customHeight="1">
      <x:c r="A132" s="2" t="str">
        <x:v>A0127</x:v>
      </x:c>
      <x:c r="B132" s="2" t="str">
        <x:v>R024</x:v>
      </x:c>
      <x:c r="C132" s="2" t="str">
        <x:v>Qty</x:v>
      </x:c>
      <x:c r="D132" s="16" t="str">
        <x:v>27</x:v>
      </x:c>
      <x:c r="E132" s="16" t="str">
        <x:v>27</x:v>
      </x:c>
      <x:c r="F132" s="14" t="str">
        <x:v>Typed number</x:v>
      </x:c>
      <x:c r="G132" s="14" t="str">
        <x:v>Parse explicit nonnegative number. Uncertain or negative values withheld.</x:v>
      </x:c>
    </x:row>
    <x:row r="133" ht="44" customHeight="1">
      <x:c r="A133" s="2" t="str">
        <x:v>A0128</x:v>
      </x:c>
      <x:c r="B133" s="2" t="str">
        <x:v>R024</x:v>
      </x:c>
      <x:c r="C133" s="2" t="str">
        <x:v>Unit cost USD</x:v>
      </x:c>
      <x:c r="D133" s="16" t="str">
        <x:v>9.1</x:v>
      </x:c>
      <x:c r="E133" s="16" t="str">
        <x:v>9.1</x:v>
      </x:c>
      <x:c r="F133" s="14" t="str">
        <x:v>Typed number</x:v>
      </x:c>
      <x:c r="G133" s="14" t="str">
        <x:v>Parse explicit USD numeric amount. Missing cost stays blank.</x:v>
      </x:c>
    </x:row>
    <x:row r="134" ht="44" customHeight="1">
      <x:c r="A134" s="2" t="str">
        <x:v>A0129</x:v>
      </x:c>
      <x:c r="B134" s="2" t="str">
        <x:v>R024</x:v>
      </x:c>
      <x:c r="C134" s="2" t="str">
        <x:v>Count date</x:v>
      </x:c>
      <x:c r="D134" s="16" t="str">
        <x:v>30 Sep 2026</x:v>
      </x:c>
      <x:c r="E134" s="16" t="str">
        <x:v>2026-09-30</x:v>
      </x:c>
      <x:c r="F134" s="14" t="str">
        <x:v>Normalized</x:v>
      </x:c>
      <x:c r="G134" s="14" t="str">
        <x:v>Parse ISO or spelled-month date only. Ambiguous or invalid date withheld.</x:v>
      </x:c>
    </x:row>
    <x:row r="135" ht="44" customHeight="1">
      <x:c r="A135" s="2" t="str">
        <x:v>A0130</x:v>
      </x:c>
      <x:c r="B135" s="2" t="str">
        <x:v>R024</x:v>
      </x:c>
      <x:c r="C135" s="2" t="str">
        <x:v>Disposition</x:v>
      </x:c>
      <x:c r="D135" s="16" t="str">
        <x:v>[unclassified]</x:v>
      </x:c>
      <x:c r="E135" s="16" t="str">
        <x:v>Ready</x:v>
      </x:c>
      <x:c r="F135" s="14" t="str">
        <x:v>Classified</x:v>
      </x:c>
      <x:c r="G135" s="14" t="str">
        <x:v>Required fields valid and no identity or same-bin conflict.</x:v>
      </x:c>
    </x:row>
    <x:row r="136" ht="44" customHeight="1">
      <x:c r="A136" s="2" t="str">
        <x:v>A0131</x:v>
      </x:c>
      <x:c r="B136" s="2" t="str">
        <x:v>R025</x:v>
      </x:c>
      <x:c r="C136" s="2" t="str">
        <x:v>SKU</x:v>
      </x:c>
      <x:c r="D136" s="16" t="str">
        <x:v> bolt-m12-40 </x:v>
      </x:c>
      <x:c r="E136" s="16" t="str">
        <x:v>BOLT-M12-40</x:v>
      </x:c>
      <x:c r="F136" s="14" t="str">
        <x:v>Normalized</x:v>
      </x:c>
      <x:c r="G136" s="14" t="str">
        <x:v>Trim whitespace and uppercase only. Punctuation and leading zeros retained.</x:v>
      </x:c>
    </x:row>
    <x:row r="137" ht="44" customHeight="1">
      <x:c r="A137" s="2" t="str">
        <x:v>A0132</x:v>
      </x:c>
      <x:c r="B137" s="2" t="str">
        <x:v>R025</x:v>
      </x:c>
      <x:c r="C137" s="2" t="str">
        <x:v>Description</x:v>
      </x:c>
      <x:c r="D137" s="16" t="str">
        <x:v> Bolt  M12  x  40  mm </x:v>
      </x:c>
      <x:c r="E137" s="16" t="str">
        <x:v>Bolt M12 x 40 mm</x:v>
      </x:c>
      <x:c r="F137" s="14" t="str">
        <x:v>Normalized</x:v>
      </x:c>
      <x:c r="G137" s="14" t="str">
        <x:v>Collapse whitespace only. Conflicting descriptions withheld.</x:v>
      </x:c>
    </x:row>
    <x:row r="138" ht="44" customHeight="1">
      <x:c r="A138" s="2" t="str">
        <x:v>A0133</x:v>
      </x:c>
      <x:c r="B138" s="2" t="str">
        <x:v>R025</x:v>
      </x:c>
      <x:c r="C138" s="2" t="str">
        <x:v>Bin</x:v>
      </x:c>
      <x:c r="D138" s="16" t="str">
        <x:v> b-09 </x:v>
      </x:c>
      <x:c r="E138" s="16" t="str">
        <x:v>B-09</x:v>
      </x:c>
      <x:c r="F138" s="14" t="str">
        <x:v>Normalized</x:v>
      </x:c>
      <x:c r="G138" s="14" t="str">
        <x:v>Trim whitespace and uppercase.</x:v>
      </x:c>
    </x:row>
    <x:row r="139" ht="44" customHeight="1">
      <x:c r="A139" s="2" t="str">
        <x:v>A0134</x:v>
      </x:c>
      <x:c r="B139" s="2" t="str">
        <x:v>R025</x:v>
      </x:c>
      <x:c r="C139" s="2" t="str">
        <x:v>Qty</x:v>
      </x:c>
      <x:c r="D139" s="16" t="str">
        <x:v>34</x:v>
      </x:c>
      <x:c r="E139" s="16" t="str">
        <x:v>34</x:v>
      </x:c>
      <x:c r="F139" s="14" t="str">
        <x:v>Typed number</x:v>
      </x:c>
      <x:c r="G139" s="14" t="str">
        <x:v>Parse explicit nonnegative number. Uncertain or negative values withheld.</x:v>
      </x:c>
    </x:row>
    <x:row r="140" ht="44" customHeight="1">
      <x:c r="A140" s="2" t="str">
        <x:v>A0135</x:v>
      </x:c>
      <x:c r="B140" s="2" t="str">
        <x:v>R025</x:v>
      </x:c>
      <x:c r="C140" s="2" t="str">
        <x:v>UOM</x:v>
      </x:c>
      <x:c r="D140" s="16" t="str">
        <x:v>each</x:v>
      </x:c>
      <x:c r="E140" s="16" t="str">
        <x:v>EA</x:v>
      </x:c>
      <x:c r="F140" s="14" t="str">
        <x:v>Normalized</x:v>
      </x:c>
      <x:c r="G140" s="14" t="str">
        <x:v>Map explicit synonyms. No pack-size conversion.</x:v>
      </x:c>
    </x:row>
    <x:row r="141" ht="44" customHeight="1">
      <x:c r="A141" s="2" t="str">
        <x:v>A0136</x:v>
      </x:c>
      <x:c r="B141" s="2" t="str">
        <x:v>R025</x:v>
      </x:c>
      <x:c r="C141" s="2" t="str">
        <x:v>Unit cost USD</x:v>
      </x:c>
      <x:c r="D141" s="16" t="str">
        <x:v>$0.85</x:v>
      </x:c>
      <x:c r="E141" s="16" t="str">
        <x:v>0.85</x:v>
      </x:c>
      <x:c r="F141" s="14" t="str">
        <x:v>Typed number</x:v>
      </x:c>
      <x:c r="G141" s="14" t="str">
        <x:v>Parse explicit USD numeric amount. Missing cost stays blank.</x:v>
      </x:c>
    </x:row>
    <x:row r="142" ht="44" customHeight="1">
      <x:c r="A142" s="2" t="str">
        <x:v>A0137</x:v>
      </x:c>
      <x:c r="B142" s="2" t="str">
        <x:v>R025</x:v>
      </x:c>
      <x:c r="C142" s="2" t="str">
        <x:v>Disposition</x:v>
      </x:c>
      <x:c r="D142" s="16" t="str">
        <x:v>[unclassified]</x:v>
      </x:c>
      <x:c r="E142" s="16" t="str">
        <x:v>Ready</x:v>
      </x:c>
      <x:c r="F142" s="14" t="str">
        <x:v>Classified</x:v>
      </x:c>
      <x:c r="G142" s="14" t="str">
        <x:v>Required fields valid and no identity or same-bin conflict.</x:v>
      </x:c>
    </x:row>
    <x:row r="143" ht="44" customHeight="1">
      <x:c r="A143" s="2" t="str">
        <x:v>A0138</x:v>
      </x:c>
      <x:c r="B143" s="2" t="str">
        <x:v>R026</x:v>
      </x:c>
      <x:c r="C143" s="2" t="str">
        <x:v>Bin</x:v>
      </x:c>
      <x:c r="D143" s="16" t="str">
        <x:v> b-10 </x:v>
      </x:c>
      <x:c r="E143" s="16" t="str">
        <x:v>B-10</x:v>
      </x:c>
      <x:c r="F143" s="14" t="str">
        <x:v>Normalized</x:v>
      </x:c>
      <x:c r="G143" s="14" t="str">
        <x:v>Trim whitespace and uppercase.</x:v>
      </x:c>
    </x:row>
    <x:row r="144" ht="44" customHeight="1">
      <x:c r="A144" s="2" t="str">
        <x:v>A0139</x:v>
      </x:c>
      <x:c r="B144" s="2" t="str">
        <x:v>R026</x:v>
      </x:c>
      <x:c r="C144" s="2" t="str">
        <x:v>Qty</x:v>
      </x:c>
      <x:c r="D144" s="16" t="str">
        <x:v> 41 </x:v>
      </x:c>
      <x:c r="E144" s="16" t="str">
        <x:v>41</x:v>
      </x:c>
      <x:c r="F144" s="14" t="str">
        <x:v>Typed number</x:v>
      </x:c>
      <x:c r="G144" s="14" t="str">
        <x:v>Parse explicit nonnegative number. Uncertain or negative values withheld.</x:v>
      </x:c>
    </x:row>
    <x:row r="145" ht="44" customHeight="1">
      <x:c r="A145" s="2" t="str">
        <x:v>A0140</x:v>
      </x:c>
      <x:c r="B145" s="2" t="str">
        <x:v>R026</x:v>
      </x:c>
      <x:c r="C145" s="2" t="str">
        <x:v>Unit cost USD</x:v>
      </x:c>
      <x:c r="D145" s="16" t="str">
        <x:v>0.95</x:v>
      </x:c>
      <x:c r="E145" s="16" t="str">
        <x:v>0.95</x:v>
      </x:c>
      <x:c r="F145" s="14" t="str">
        <x:v>Typed number</x:v>
      </x:c>
      <x:c r="G145" s="14" t="str">
        <x:v>Parse explicit USD numeric amount. Missing cost stays blank.</x:v>
      </x:c>
    </x:row>
    <x:row r="146" ht="44" customHeight="1">
      <x:c r="A146" s="2" t="str">
        <x:v>A0141</x:v>
      </x:c>
      <x:c r="B146" s="2" t="str">
        <x:v>R026</x:v>
      </x:c>
      <x:c r="C146" s="2" t="str">
        <x:v>Count date</x:v>
      </x:c>
      <x:c r="D146" s="16" t="str">
        <x:v>30 Sep 2026</x:v>
      </x:c>
      <x:c r="E146" s="16" t="str">
        <x:v>2026-09-30</x:v>
      </x:c>
      <x:c r="F146" s="14" t="str">
        <x:v>Normalized</x:v>
      </x:c>
      <x:c r="G146" s="14" t="str">
        <x:v>Parse ISO or spelled-month date only. Ambiguous or invalid date withheld.</x:v>
      </x:c>
    </x:row>
    <x:row r="147" ht="44" customHeight="1">
      <x:c r="A147" s="2" t="str">
        <x:v>A0142</x:v>
      </x:c>
      <x:c r="B147" s="2" t="str">
        <x:v>R026</x:v>
      </x:c>
      <x:c r="C147" s="2" t="str">
        <x:v>Disposition</x:v>
      </x:c>
      <x:c r="D147" s="16" t="str">
        <x:v>[unclassified]</x:v>
      </x:c>
      <x:c r="E147" s="16" t="str">
        <x:v>Ready</x:v>
      </x:c>
      <x:c r="F147" s="14" t="str">
        <x:v>Classified</x:v>
      </x:c>
      <x:c r="G147" s="14" t="str">
        <x:v>Required fields valid and no identity or same-bin conflict.</x:v>
      </x:c>
    </x:row>
    <x:row r="148" ht="44" customHeight="1">
      <x:c r="A148" s="2" t="str">
        <x:v>A0143</x:v>
      </x:c>
      <x:c r="B148" s="2" t="str">
        <x:v>R027</x:v>
      </x:c>
      <x:c r="C148" s="2" t="str">
        <x:v>Bin</x:v>
      </x:c>
      <x:c r="D148" s="16" t="str">
        <x:v> b-11 </x:v>
      </x:c>
      <x:c r="E148" s="16" t="str">
        <x:v>B-11</x:v>
      </x:c>
      <x:c r="F148" s="14" t="str">
        <x:v>Normalized</x:v>
      </x:c>
      <x:c r="G148" s="14" t="str">
        <x:v>Trim whitespace and uppercase.</x:v>
      </x:c>
    </x:row>
    <x:row r="149" ht="44" customHeight="1">
      <x:c r="A149" s="2" t="str">
        <x:v>A0144</x:v>
      </x:c>
      <x:c r="B149" s="2" t="str">
        <x:v>R027</x:v>
      </x:c>
      <x:c r="C149" s="2" t="str">
        <x:v>Qty</x:v>
      </x:c>
      <x:c r="D149" s="16" t="str">
        <x:v>25.5</x:v>
      </x:c>
      <x:c r="E149" s="16" t="str">
        <x:v>25.5</x:v>
      </x:c>
      <x:c r="F149" s="14" t="str">
        <x:v>Typed number</x:v>
      </x:c>
      <x:c r="G149" s="14" t="str">
        <x:v>Parse explicit nonnegative number. Uncertain or negative values withheld.</x:v>
      </x:c>
    </x:row>
    <x:row r="150" ht="44" customHeight="1">
      <x:c r="A150" s="2" t="str">
        <x:v>A0145</x:v>
      </x:c>
      <x:c r="B150" s="2" t="str">
        <x:v>R027</x:v>
      </x:c>
      <x:c r="C150" s="2" t="str">
        <x:v>Unit cost USD</x:v>
      </x:c>
      <x:c r="D150" s="16" t="str">
        <x:v>12.5</x:v>
      </x:c>
      <x:c r="E150" s="16" t="str">
        <x:v>12.5</x:v>
      </x:c>
      <x:c r="F150" s="14" t="str">
        <x:v>Typed number</x:v>
      </x:c>
      <x:c r="G150" s="14" t="str">
        <x:v>Parse explicit USD numeric amount. Missing cost stays blank.</x:v>
      </x:c>
    </x:row>
    <x:row r="151" ht="44" customHeight="1">
      <x:c r="A151" s="2" t="str">
        <x:v>A0146</x:v>
      </x:c>
      <x:c r="B151" s="2" t="str">
        <x:v>R027</x:v>
      </x:c>
      <x:c r="C151" s="2" t="str">
        <x:v>Disposition</x:v>
      </x:c>
      <x:c r="D151" s="16" t="str">
        <x:v>[unclassified]</x:v>
      </x:c>
      <x:c r="E151" s="16" t="str">
        <x:v>Ready</x:v>
      </x:c>
      <x:c r="F151" s="14" t="str">
        <x:v>Classified</x:v>
      </x:c>
      <x:c r="G151" s="14" t="str">
        <x:v>Required fields valid and no identity or same-bin conflict.</x:v>
      </x:c>
    </x:row>
    <x:row r="152" ht="44" customHeight="1">
      <x:c r="A152" s="2" t="str">
        <x:v>A0147</x:v>
      </x:c>
      <x:c r="B152" s="2" t="str">
        <x:v>R028</x:v>
      </x:c>
      <x:c r="C152" s="2" t="str">
        <x:v>SKU</x:v>
      </x:c>
      <x:c r="D152" s="16" t="str">
        <x:v> hose-050 </x:v>
      </x:c>
      <x:c r="E152" s="16" t="str">
        <x:v>HOSE-050</x:v>
      </x:c>
      <x:c r="F152" s="14" t="str">
        <x:v>Normalized</x:v>
      </x:c>
      <x:c r="G152" s="14" t="str">
        <x:v>Trim whitespace and uppercase only. Punctuation and leading zeros retained.</x:v>
      </x:c>
    </x:row>
    <x:row r="153" ht="44" customHeight="1">
      <x:c r="A153" s="2" t="str">
        <x:v>A0148</x:v>
      </x:c>
      <x:c r="B153" s="2" t="str">
        <x:v>R028</x:v>
      </x:c>
      <x:c r="C153" s="2" t="str">
        <x:v>Bin</x:v>
      </x:c>
      <x:c r="D153" s="16" t="str">
        <x:v> b-12 </x:v>
      </x:c>
      <x:c r="E153" s="16" t="str">
        <x:v>B-12</x:v>
      </x:c>
      <x:c r="F153" s="14" t="str">
        <x:v>Normalized</x:v>
      </x:c>
      <x:c r="G153" s="14" t="str">
        <x:v>Trim whitespace and uppercase.</x:v>
      </x:c>
    </x:row>
    <x:row r="154" ht="44" customHeight="1">
      <x:c r="A154" s="2" t="str">
        <x:v>A0149</x:v>
      </x:c>
      <x:c r="B154" s="2" t="str">
        <x:v>R028</x:v>
      </x:c>
      <x:c r="C154" s="2" t="str">
        <x:v>Qty</x:v>
      </x:c>
      <x:c r="D154" s="16" t="str">
        <x:v>31</x:v>
      </x:c>
      <x:c r="E154" s="16" t="str">
        <x:v>31</x:v>
      </x:c>
      <x:c r="F154" s="14" t="str">
        <x:v>Typed number</x:v>
      </x:c>
      <x:c r="G154" s="14" t="str">
        <x:v>Parse explicit nonnegative number. Uncertain or negative values withheld.</x:v>
      </x:c>
    </x:row>
    <x:row r="155" ht="44" customHeight="1">
      <x:c r="A155" s="2" t="str">
        <x:v>A0150</x:v>
      </x:c>
      <x:c r="B155" s="2" t="str">
        <x:v>R028</x:v>
      </x:c>
      <x:c r="C155" s="2" t="str">
        <x:v>UOM</x:v>
      </x:c>
      <x:c r="D155" s="16" t="str">
        <x:v>metres</x:v>
      </x:c>
      <x:c r="E155" s="16" t="str">
        <x:v>M</x:v>
      </x:c>
      <x:c r="F155" s="14" t="str">
        <x:v>Normalized</x:v>
      </x:c>
      <x:c r="G155" s="14" t="str">
        <x:v>Map explicit synonyms. No pack-size conversion.</x:v>
      </x:c>
    </x:row>
    <x:row r="156" ht="44" customHeight="1">
      <x:c r="A156" s="2" t="str">
        <x:v>A0151</x:v>
      </x:c>
      <x:c r="B156" s="2" t="str">
        <x:v>R028</x:v>
      </x:c>
      <x:c r="C156" s="2" t="str">
        <x:v>Unit cost USD</x:v>
      </x:c>
      <x:c r="D156" s="16" t="str">
        <x:v>15.8</x:v>
      </x:c>
      <x:c r="E156" s="16" t="str">
        <x:v>15.8</x:v>
      </x:c>
      <x:c r="F156" s="14" t="str">
        <x:v>Typed number</x:v>
      </x:c>
      <x:c r="G156" s="14" t="str">
        <x:v>Parse explicit USD numeric amount. Missing cost stays blank.</x:v>
      </x:c>
    </x:row>
    <x:row r="157" ht="44" customHeight="1">
      <x:c r="A157" s="2" t="str">
        <x:v>A0152</x:v>
      </x:c>
      <x:c r="B157" s="2" t="str">
        <x:v>R028</x:v>
      </x:c>
      <x:c r="C157" s="2" t="str">
        <x:v>Count date</x:v>
      </x:c>
      <x:c r="D157" s="16" t="str">
        <x:v>30 Sep 2026</x:v>
      </x:c>
      <x:c r="E157" s="16" t="str">
        <x:v>2026-09-30</x:v>
      </x:c>
      <x:c r="F157" s="14" t="str">
        <x:v>Normalized</x:v>
      </x:c>
      <x:c r="G157" s="14" t="str">
        <x:v>Parse ISO or spelled-month date only. Ambiguous or invalid date withheld.</x:v>
      </x:c>
    </x:row>
    <x:row r="158" ht="44" customHeight="1">
      <x:c r="A158" s="2" t="str">
        <x:v>A0153</x:v>
      </x:c>
      <x:c r="B158" s="2" t="str">
        <x:v>R028</x:v>
      </x:c>
      <x:c r="C158" s="2" t="str">
        <x:v>Disposition</x:v>
      </x:c>
      <x:c r="D158" s="16" t="str">
        <x:v>[unclassified]</x:v>
      </x:c>
      <x:c r="E158" s="16" t="str">
        <x:v>Ready</x:v>
      </x:c>
      <x:c r="F158" s="14" t="str">
        <x:v>Classified</x:v>
      </x:c>
      <x:c r="G158" s="14" t="str">
        <x:v>Required fields valid and no identity or same-bin conflict.</x:v>
      </x:c>
    </x:row>
    <x:row r="159" ht="44" customHeight="1">
      <x:c r="A159" s="2" t="str">
        <x:v>A0154</x:v>
      </x:c>
      <x:c r="B159" s="2" t="str">
        <x:v>R029</x:v>
      </x:c>
      <x:c r="C159" s="2" t="str">
        <x:v>Description</x:v>
      </x:c>
      <x:c r="D159" s="16" t="str">
        <x:v> EP2  grease </x:v>
      </x:c>
      <x:c r="E159" s="16" t="str">
        <x:v>EP2 grease</x:v>
      </x:c>
      <x:c r="F159" s="14" t="str">
        <x:v>Normalized</x:v>
      </x:c>
      <x:c r="G159" s="14" t="str">
        <x:v>Collapse whitespace only. Conflicting descriptions withheld.</x:v>
      </x:c>
    </x:row>
    <x:row r="160" ht="44" customHeight="1">
      <x:c r="A160" s="2" t="str">
        <x:v>A0155</x:v>
      </x:c>
      <x:c r="B160" s="2" t="str">
        <x:v>R029</x:v>
      </x:c>
      <x:c r="C160" s="2" t="str">
        <x:v>Bin</x:v>
      </x:c>
      <x:c r="D160" s="16" t="str">
        <x:v> b-13 </x:v>
      </x:c>
      <x:c r="E160" s="16" t="str">
        <x:v>B-13</x:v>
      </x:c>
      <x:c r="F160" s="14" t="str">
        <x:v>Normalized</x:v>
      </x:c>
      <x:c r="G160" s="14" t="str">
        <x:v>Trim whitespace and uppercase.</x:v>
      </x:c>
    </x:row>
    <x:row r="161" ht="44" customHeight="1">
      <x:c r="A161" s="2" t="str">
        <x:v>A0156</x:v>
      </x:c>
      <x:c r="B161" s="2" t="str">
        <x:v>R029</x:v>
      </x:c>
      <x:c r="C161" s="2" t="str">
        <x:v>Qty</x:v>
      </x:c>
      <x:c r="D161" s="16" t="str">
        <x:v>36.5</x:v>
      </x:c>
      <x:c r="E161" s="16" t="str">
        <x:v>36.5</x:v>
      </x:c>
      <x:c r="F161" s="14" t="str">
        <x:v>Typed number</x:v>
      </x:c>
      <x:c r="G161" s="14" t="str">
        <x:v>Parse explicit nonnegative number. Uncertain or negative values withheld.</x:v>
      </x:c>
    </x:row>
    <x:row r="162" ht="44" customHeight="1">
      <x:c r="A162" s="2" t="str">
        <x:v>A0157</x:v>
      </x:c>
      <x:c r="B162" s="2" t="str">
        <x:v>R029</x:v>
      </x:c>
      <x:c r="C162" s="2" t="str">
        <x:v>Unit cost USD</x:v>
      </x:c>
      <x:c r="D162" s="16" t="str">
        <x:v>$7.90</x:v>
      </x:c>
      <x:c r="E162" s="16" t="str">
        <x:v>7.9</x:v>
      </x:c>
      <x:c r="F162" s="14" t="str">
        <x:v>Typed number</x:v>
      </x:c>
      <x:c r="G162" s="14" t="str">
        <x:v>Parse explicit USD numeric amount. Missing cost stays blank.</x:v>
      </x:c>
    </x:row>
    <x:row r="163" ht="44" customHeight="1">
      <x:c r="A163" s="2" t="str">
        <x:v>A0158</x:v>
      </x:c>
      <x:c r="B163" s="2" t="str">
        <x:v>R029</x:v>
      </x:c>
      <x:c r="C163" s="2" t="str">
        <x:v>Disposition</x:v>
      </x:c>
      <x:c r="D163" s="16" t="str">
        <x:v>[unclassified]</x:v>
      </x:c>
      <x:c r="E163" s="16" t="str">
        <x:v>Ready</x:v>
      </x:c>
      <x:c r="F163" s="14" t="str">
        <x:v>Classified</x:v>
      </x:c>
      <x:c r="G163" s="14" t="str">
        <x:v>Required fields valid and no identity or same-bin conflict.</x:v>
      </x:c>
    </x:row>
    <x:row r="164" ht="44" customHeight="1">
      <x:c r="A164" s="2" t="str">
        <x:v>A0159</x:v>
      </x:c>
      <x:c r="B164" s="2" t="str">
        <x:v>R030</x:v>
      </x:c>
      <x:c r="C164" s="2" t="str">
        <x:v>Bin</x:v>
      </x:c>
      <x:c r="D164" s="16" t="str">
        <x:v> b-14 </x:v>
      </x:c>
      <x:c r="E164" s="16" t="str">
        <x:v>B-14</x:v>
      </x:c>
      <x:c r="F164" s="14" t="str">
        <x:v>Normalized</x:v>
      </x:c>
      <x:c r="G164" s="14" t="str">
        <x:v>Trim whitespace and uppercase.</x:v>
      </x:c>
    </x:row>
    <x:row r="165" ht="44" customHeight="1">
      <x:c r="A165" s="2" t="str">
        <x:v>A0160</x:v>
      </x:c>
      <x:c r="B165" s="2" t="str">
        <x:v>R030</x:v>
      </x:c>
      <x:c r="C165" s="2" t="str">
        <x:v>Qty</x:v>
      </x:c>
      <x:c r="D165" s="16" t="str">
        <x:v>42</x:v>
      </x:c>
      <x:c r="E165" s="16" t="str">
        <x:v>42</x:v>
      </x:c>
      <x:c r="F165" s="14" t="str">
        <x:v>Typed number</x:v>
      </x:c>
      <x:c r="G165" s="14" t="str">
        <x:v>Parse explicit nonnegative number. Uncertain or negative values withheld.</x:v>
      </x:c>
    </x:row>
    <x:row r="166" ht="44" customHeight="1">
      <x:c r="A166" s="2" t="str">
        <x:v>A0161</x:v>
      </x:c>
      <x:c r="B166" s="2" t="str">
        <x:v>R030</x:v>
      </x:c>
      <x:c r="C166" s="2" t="str">
        <x:v>Unit cost USD</x:v>
      </x:c>
      <x:c r="D166" s="16" t="str">
        <x:v>5.6</x:v>
      </x:c>
      <x:c r="E166" s="16" t="str">
        <x:v>5.6</x:v>
      </x:c>
      <x:c r="F166" s="14" t="str">
        <x:v>Typed number</x:v>
      </x:c>
      <x:c r="G166" s="14" t="str">
        <x:v>Parse explicit USD numeric amount. Missing cost stays blank.</x:v>
      </x:c>
    </x:row>
    <x:row r="167" ht="44" customHeight="1">
      <x:c r="A167" s="2" t="str">
        <x:v>A0162</x:v>
      </x:c>
      <x:c r="B167" s="2" t="str">
        <x:v>R030</x:v>
      </x:c>
      <x:c r="C167" s="2" t="str">
        <x:v>Count date</x:v>
      </x:c>
      <x:c r="D167" s="16" t="str">
        <x:v>30 Sep 2026</x:v>
      </x:c>
      <x:c r="E167" s="16" t="str">
        <x:v>2026-09-30</x:v>
      </x:c>
      <x:c r="F167" s="14" t="str">
        <x:v>Normalized</x:v>
      </x:c>
      <x:c r="G167" s="14" t="str">
        <x:v>Parse ISO or spelled-month date only. Ambiguous or invalid date withheld.</x:v>
      </x:c>
    </x:row>
    <x:row r="168" ht="44" customHeight="1">
      <x:c r="A168" s="2" t="str">
        <x:v>A0163</x:v>
      </x:c>
      <x:c r="B168" s="2" t="str">
        <x:v>R030</x:v>
      </x:c>
      <x:c r="C168" s="2" t="str">
        <x:v>Disposition</x:v>
      </x:c>
      <x:c r="D168" s="16" t="str">
        <x:v>[unclassified]</x:v>
      </x:c>
      <x:c r="E168" s="16" t="str">
        <x:v>Ready</x:v>
      </x:c>
      <x:c r="F168" s="14" t="str">
        <x:v>Classified</x:v>
      </x:c>
      <x:c r="G168" s="14" t="str">
        <x:v>Required fields valid and no identity or same-bin conflict.</x:v>
      </x:c>
    </x:row>
    <x:row r="169" ht="44" customHeight="1">
      <x:c r="A169" s="2" t="str">
        <x:v>A0164</x:v>
      </x:c>
      <x:c r="B169" s="2" t="str">
        <x:v>R031</x:v>
      </x:c>
      <x:c r="C169" s="2" t="str">
        <x:v>SKU</x:v>
      </x:c>
      <x:c r="D169" s="16" t="str">
        <x:v> 00127 </x:v>
      </x:c>
      <x:c r="E169" s="16" t="str">
        <x:v>00127</x:v>
      </x:c>
      <x:c r="F169" s="14" t="str">
        <x:v>Normalized</x:v>
      </x:c>
      <x:c r="G169" s="14" t="str">
        <x:v>Trim whitespace and uppercase only. Punctuation and leading zeros retained.</x:v>
      </x:c>
    </x:row>
    <x:row r="170" ht="44" customHeight="1">
      <x:c r="A170" s="2" t="str">
        <x:v>A0165</x:v>
      </x:c>
      <x:c r="B170" s="2" t="str">
        <x:v>R031</x:v>
      </x:c>
      <x:c r="C170" s="2" t="str">
        <x:v>Bin</x:v>
      </x:c>
      <x:c r="D170" s="16" t="str">
        <x:v> b-15 </x:v>
      </x:c>
      <x:c r="E170" s="16" t="str">
        <x:v>B-15</x:v>
      </x:c>
      <x:c r="F170" s="14" t="str">
        <x:v>Normalized</x:v>
      </x:c>
      <x:c r="G170" s="14" t="str">
        <x:v>Trim whitespace and uppercase.</x:v>
      </x:c>
    </x:row>
    <x:row r="171" ht="44" customHeight="1">
      <x:c r="A171" s="2" t="str">
        <x:v>A0166</x:v>
      </x:c>
      <x:c r="B171" s="2" t="str">
        <x:v>R031</x:v>
      </x:c>
      <x:c r="C171" s="2" t="str">
        <x:v>Qty</x:v>
      </x:c>
      <x:c r="D171" s="16" t="str">
        <x:v> 31 </x:v>
      </x:c>
      <x:c r="E171" s="16" t="str">
        <x:v>31</x:v>
      </x:c>
      <x:c r="F171" s="14" t="str">
        <x:v>Typed number</x:v>
      </x:c>
      <x:c r="G171" s="14" t="str">
        <x:v>Parse explicit nonnegative number. Uncertain or negative values withheld.</x:v>
      </x:c>
    </x:row>
    <x:row r="172" ht="44" customHeight="1">
      <x:c r="A172" s="2" t="str">
        <x:v>A0167</x:v>
      </x:c>
      <x:c r="B172" s="2" t="str">
        <x:v>R031</x:v>
      </x:c>
      <x:c r="C172" s="2" t="str">
        <x:v>UOM</x:v>
      </x:c>
      <x:c r="D172" s="16" t="str">
        <x:v>each</x:v>
      </x:c>
      <x:c r="E172" s="16" t="str">
        <x:v>EA</x:v>
      </x:c>
      <x:c r="F172" s="14" t="str">
        <x:v>Normalized</x:v>
      </x:c>
      <x:c r="G172" s="14" t="str">
        <x:v>Map explicit synonyms. No pack-size conversion.</x:v>
      </x:c>
    </x:row>
    <x:row r="173" ht="44" customHeight="1">
      <x:c r="A173" s="2" t="str">
        <x:v>A0168</x:v>
      </x:c>
      <x:c r="B173" s="2" t="str">
        <x:v>R031</x:v>
      </x:c>
      <x:c r="C173" s="2" t="str">
        <x:v>Unit cost USD</x:v>
      </x:c>
      <x:c r="D173" s="16" t="str">
        <x:v>31</x:v>
      </x:c>
      <x:c r="E173" s="16" t="str">
        <x:v>31</x:v>
      </x:c>
      <x:c r="F173" s="14" t="str">
        <x:v>Typed number</x:v>
      </x:c>
      <x:c r="G173" s="14" t="str">
        <x:v>Parse explicit USD numeric amount. Missing cost stays blank.</x:v>
      </x:c>
    </x:row>
    <x:row r="174" ht="44" customHeight="1">
      <x:c r="A174" s="2" t="str">
        <x:v>A0169</x:v>
      </x:c>
      <x:c r="B174" s="2" t="str">
        <x:v>R031</x:v>
      </x:c>
      <x:c r="C174" s="2" t="str">
        <x:v>Disposition</x:v>
      </x:c>
      <x:c r="D174" s="16" t="str">
        <x:v>[unclassified]</x:v>
      </x:c>
      <x:c r="E174" s="16" t="str">
        <x:v>Ready</x:v>
      </x:c>
      <x:c r="F174" s="14" t="str">
        <x:v>Classified</x:v>
      </x:c>
      <x:c r="G174" s="14" t="str">
        <x:v>Required fields valid and no identity or same-bin conflict.</x:v>
      </x:c>
    </x:row>
    <x:row r="175" ht="44" customHeight="1">
      <x:c r="A175" s="2" t="str">
        <x:v>A0170</x:v>
      </x:c>
      <x:c r="B175" s="2" t="str">
        <x:v>R032</x:v>
      </x:c>
      <x:c r="C175" s="2" t="str">
        <x:v>Bin</x:v>
      </x:c>
      <x:c r="D175" s="16" t="str">
        <x:v> b-16 </x:v>
      </x:c>
      <x:c r="E175" s="16" t="str">
        <x:v>B-16</x:v>
      </x:c>
      <x:c r="F175" s="14" t="str">
        <x:v>Normalized</x:v>
      </x:c>
      <x:c r="G175" s="14" t="str">
        <x:v>Trim whitespace and uppercase.</x:v>
      </x:c>
    </x:row>
    <x:row r="176" ht="44" customHeight="1">
      <x:c r="A176" s="2" t="str">
        <x:v>A0171</x:v>
      </x:c>
      <x:c r="B176" s="2" t="str">
        <x:v>R032</x:v>
      </x:c>
      <x:c r="C176" s="2" t="str">
        <x:v>Qty</x:v>
      </x:c>
      <x:c r="D176" s="16" t="str">
        <x:v>38</x:v>
      </x:c>
      <x:c r="E176" s="16" t="str">
        <x:v>38</x:v>
      </x:c>
      <x:c r="F176" s="14" t="str">
        <x:v>Typed number</x:v>
      </x:c>
      <x:c r="G176" s="14" t="str">
        <x:v>Parse explicit nonnegative number. Uncertain or negative values withheld.</x:v>
      </x:c>
    </x:row>
    <x:row r="177" ht="44" customHeight="1">
      <x:c r="A177" s="2" t="str">
        <x:v>A0172</x:v>
      </x:c>
      <x:c r="B177" s="2" t="str">
        <x:v>R032</x:v>
      </x:c>
      <x:c r="C177" s="2" t="str">
        <x:v>Unit cost USD</x:v>
      </x:c>
      <x:c r="D177" s="16" t="str">
        <x:v>34</x:v>
      </x:c>
      <x:c r="E177" s="16" t="str">
        <x:v>34</x:v>
      </x:c>
      <x:c r="F177" s="14" t="str">
        <x:v>Typed number</x:v>
      </x:c>
      <x:c r="G177" s="14" t="str">
        <x:v>Parse explicit USD numeric amount. Missing cost stays blank.</x:v>
      </x:c>
    </x:row>
    <x:row r="178" ht="44" customHeight="1">
      <x:c r="A178" s="2" t="str">
        <x:v>A0173</x:v>
      </x:c>
      <x:c r="B178" s="2" t="str">
        <x:v>R032</x:v>
      </x:c>
      <x:c r="C178" s="2" t="str">
        <x:v>Count date</x:v>
      </x:c>
      <x:c r="D178" s="16" t="str">
        <x:v>30 Sep 2026</x:v>
      </x:c>
      <x:c r="E178" s="16" t="str">
        <x:v>2026-09-30</x:v>
      </x:c>
      <x:c r="F178" s="14" t="str">
        <x:v>Normalized</x:v>
      </x:c>
      <x:c r="G178" s="14" t="str">
        <x:v>Parse ISO or spelled-month date only. Ambiguous or invalid date withheld.</x:v>
      </x:c>
    </x:row>
    <x:row r="179" ht="44" customHeight="1">
      <x:c r="A179" s="2" t="str">
        <x:v>A0174</x:v>
      </x:c>
      <x:c r="B179" s="2" t="str">
        <x:v>R032</x:v>
      </x:c>
      <x:c r="C179" s="2" t="str">
        <x:v>Disposition</x:v>
      </x:c>
      <x:c r="D179" s="16" t="str">
        <x:v>[unclassified]</x:v>
      </x:c>
      <x:c r="E179" s="16" t="str">
        <x:v>Ready</x:v>
      </x:c>
      <x:c r="F179" s="14" t="str">
        <x:v>Classified</x:v>
      </x:c>
      <x:c r="G179" s="14" t="str">
        <x:v>Required fields valid and no identity or same-bin conflict.</x:v>
      </x:c>
    </x:row>
    <x:row r="180" ht="44" customHeight="1">
      <x:c r="A180" s="2" t="str">
        <x:v>A0175</x:v>
      </x:c>
      <x:c r="B180" s="2" t="str">
        <x:v>R033</x:v>
      </x:c>
      <x:c r="C180" s="2" t="str">
        <x:v>Description</x:v>
      </x:c>
      <x:c r="D180" s="16" t="str">
        <x:v> Bearing  6205,  rubber  seals </x:v>
      </x:c>
      <x:c r="E180" s="16" t="str">
        <x:v>Bearing 6205, rubber seals</x:v>
      </x:c>
      <x:c r="F180" s="14" t="str">
        <x:v>Normalized</x:v>
      </x:c>
      <x:c r="G180" s="14" t="str">
        <x:v>Collapse whitespace only. Conflicting descriptions withheld.</x:v>
      </x:c>
    </x:row>
    <x:row r="181" ht="44" customHeight="1">
      <x:c r="A181" s="2" t="str">
        <x:v>A0176</x:v>
      </x:c>
      <x:c r="B181" s="2" t="str">
        <x:v>R033</x:v>
      </x:c>
      <x:c r="C181" s="2" t="str">
        <x:v>Bin</x:v>
      </x:c>
      <x:c r="D181" s="16" t="str">
        <x:v> c-01 </x:v>
      </x:c>
      <x:c r="E181" s="16" t="str">
        <x:v>C-01</x:v>
      </x:c>
      <x:c r="F181" s="14" t="str">
        <x:v>Normalized</x:v>
      </x:c>
      <x:c r="G181" s="14" t="str">
        <x:v>Trim whitespace and uppercase.</x:v>
      </x:c>
    </x:row>
    <x:row r="182" ht="44" customHeight="1">
      <x:c r="A182" s="2" t="str">
        <x:v>A0177</x:v>
      </x:c>
      <x:c r="B182" s="2" t="str">
        <x:v>R033</x:v>
      </x:c>
      <x:c r="C182" s="2" t="str">
        <x:v>Qty</x:v>
      </x:c>
      <x:c r="D182" s="16" t="str">
        <x:v>45</x:v>
      </x:c>
      <x:c r="E182" s="16" t="str">
        <x:v>45</x:v>
      </x:c>
      <x:c r="F182" s="14" t="str">
        <x:v>Typed number</x:v>
      </x:c>
      <x:c r="G182" s="14" t="str">
        <x:v>Parse explicit nonnegative number. Uncertain or negative values withheld.</x:v>
      </x:c>
    </x:row>
    <x:row r="183" ht="44" customHeight="1">
      <x:c r="A183" s="2" t="str">
        <x:v>A0178</x:v>
      </x:c>
      <x:c r="B183" s="2" t="str">
        <x:v>R033</x:v>
      </x:c>
      <x:c r="C183" s="2" t="str">
        <x:v>Unit cost USD</x:v>
      </x:c>
      <x:c r="D183" s="16" t="str">
        <x:v>$18.50</x:v>
      </x:c>
      <x:c r="E183" s="16" t="str">
        <x:v>18.5</x:v>
      </x:c>
      <x:c r="F183" s="14" t="str">
        <x:v>Typed number</x:v>
      </x:c>
      <x:c r="G183" s="14" t="str">
        <x:v>Parse explicit USD numeric amount. Missing cost stays blank.</x:v>
      </x:c>
    </x:row>
    <x:row r="184" ht="44" customHeight="1">
      <x:c r="A184" s="2" t="str">
        <x:v>A0179</x:v>
      </x:c>
      <x:c r="B184" s="2" t="str">
        <x:v>R033</x:v>
      </x:c>
      <x:c r="C184" s="2" t="str">
        <x:v>Disposition</x:v>
      </x:c>
      <x:c r="D184" s="16" t="str">
        <x:v>[unclassified]</x:v>
      </x:c>
      <x:c r="E184" s="16" t="str">
        <x:v>Ready</x:v>
      </x:c>
      <x:c r="F184" s="14" t="str">
        <x:v>Classified</x:v>
      </x:c>
      <x:c r="G184" s="14" t="str">
        <x:v>Required fields valid and no identity or same-bin conflict.</x:v>
      </x:c>
    </x:row>
    <x:row r="185" ht="44" customHeight="1">
      <x:c r="A185" s="2" t="str">
        <x:v>A0180</x:v>
      </x:c>
      <x:c r="B185" s="2" t="str">
        <x:v>R034</x:v>
      </x:c>
      <x:c r="C185" s="2" t="str">
        <x:v>SKU</x:v>
      </x:c>
      <x:c r="D185" s="16" t="str">
        <x:v> brg-6205-zz </x:v>
      </x:c>
      <x:c r="E185" s="16" t="str">
        <x:v>BRG-6205-ZZ</x:v>
      </x:c>
      <x:c r="F185" s="14" t="str">
        <x:v>Normalized</x:v>
      </x:c>
      <x:c r="G185" s="14" t="str">
        <x:v>Trim whitespace and uppercase only. Punctuation and leading zeros retained.</x:v>
      </x:c>
    </x:row>
    <x:row r="186" ht="44" customHeight="1">
      <x:c r="A186" s="2" t="str">
        <x:v>A0181</x:v>
      </x:c>
      <x:c r="B186" s="2" t="str">
        <x:v>R034</x:v>
      </x:c>
      <x:c r="C186" s="2" t="str">
        <x:v>Bin</x:v>
      </x:c>
      <x:c r="D186" s="16" t="str">
        <x:v> c-02 </x:v>
      </x:c>
      <x:c r="E186" s="16" t="str">
        <x:v>C-02</x:v>
      </x:c>
      <x:c r="F186" s="14" t="str">
        <x:v>Normalized</x:v>
      </x:c>
      <x:c r="G186" s="14" t="str">
        <x:v>Trim whitespace and uppercase.</x:v>
      </x:c>
    </x:row>
    <x:row r="187" ht="44" customHeight="1">
      <x:c r="A187" s="2" t="str">
        <x:v>A0182</x:v>
      </x:c>
      <x:c r="B187" s="2" t="str">
        <x:v>R034</x:v>
      </x:c>
      <x:c r="C187" s="2" t="str">
        <x:v>Qty</x:v>
      </x:c>
      <x:c r="D187" s="16" t="str">
        <x:v>7</x:v>
      </x:c>
      <x:c r="E187" s="16" t="str">
        <x:v>7</x:v>
      </x:c>
      <x:c r="F187" s="14" t="str">
        <x:v>Typed number</x:v>
      </x:c>
      <x:c r="G187" s="14" t="str">
        <x:v>Parse explicit nonnegative number. Uncertain or negative values withheld.</x:v>
      </x:c>
    </x:row>
    <x:row r="188" ht="44" customHeight="1">
      <x:c r="A188" s="2" t="str">
        <x:v>A0183</x:v>
      </x:c>
      <x:c r="B188" s="2" t="str">
        <x:v>R034</x:v>
      </x:c>
      <x:c r="C188" s="2" t="str">
        <x:v>UOM</x:v>
      </x:c>
      <x:c r="D188" s="16" t="str">
        <x:v>each</x:v>
      </x:c>
      <x:c r="E188" s="16" t="str">
        <x:v>EA</x:v>
      </x:c>
      <x:c r="F188" s="14" t="str">
        <x:v>Normalized</x:v>
      </x:c>
      <x:c r="G188" s="14" t="str">
        <x:v>Map explicit synonyms. No pack-size conversion.</x:v>
      </x:c>
    </x:row>
    <x:row r="189" ht="44" customHeight="1">
      <x:c r="A189" s="2" t="str">
        <x:v>A0184</x:v>
      </x:c>
      <x:c r="B189" s="2" t="str">
        <x:v>R034</x:v>
      </x:c>
      <x:c r="C189" s="2" t="str">
        <x:v>Unit cost USD</x:v>
      </x:c>
      <x:c r="D189" s="16" t="str">
        <x:v>16.75</x:v>
      </x:c>
      <x:c r="E189" s="16" t="str">
        <x:v>16.75</x:v>
      </x:c>
      <x:c r="F189" s="14" t="str">
        <x:v>Typed number</x:v>
      </x:c>
      <x:c r="G189" s="14" t="str">
        <x:v>Parse explicit USD numeric amount. Missing cost stays blank.</x:v>
      </x:c>
    </x:row>
    <x:row r="190" ht="44" customHeight="1">
      <x:c r="A190" s="2" t="str">
        <x:v>A0185</x:v>
      </x:c>
      <x:c r="B190" s="2" t="str">
        <x:v>R034</x:v>
      </x:c>
      <x:c r="C190" s="2" t="str">
        <x:v>Count date</x:v>
      </x:c>
      <x:c r="D190" s="16" t="str">
        <x:v>30 Sep 2026</x:v>
      </x:c>
      <x:c r="E190" s="16" t="str">
        <x:v>2026-09-30</x:v>
      </x:c>
      <x:c r="F190" s="14" t="str">
        <x:v>Normalized</x:v>
      </x:c>
      <x:c r="G190" s="14" t="str">
        <x:v>Parse ISO or spelled-month date only. Ambiguous or invalid date withheld.</x:v>
      </x:c>
    </x:row>
    <x:row r="191" ht="44" customHeight="1">
      <x:c r="A191" s="2" t="str">
        <x:v>A0186</x:v>
      </x:c>
      <x:c r="B191" s="2" t="str">
        <x:v>R034</x:v>
      </x:c>
      <x:c r="C191" s="2" t="str">
        <x:v>Disposition</x:v>
      </x:c>
      <x:c r="D191" s="16" t="str">
        <x:v>[unclassified]</x:v>
      </x:c>
      <x:c r="E191" s="16" t="str">
        <x:v>Ready</x:v>
      </x:c>
      <x:c r="F191" s="14" t="str">
        <x:v>Classified</x:v>
      </x:c>
      <x:c r="G191" s="14" t="str">
        <x:v>Required fields valid and no identity or same-bin conflict.</x:v>
      </x:c>
    </x:row>
    <x:row r="192" ht="44" customHeight="1">
      <x:c r="A192" s="2" t="str">
        <x:v>A0187</x:v>
      </x:c>
      <x:c r="B192" s="2" t="str">
        <x:v>R035</x:v>
      </x:c>
      <x:c r="C192" s="2" t="str">
        <x:v>Bin</x:v>
      </x:c>
      <x:c r="D192" s="16" t="str">
        <x:v> c-03 </x:v>
      </x:c>
      <x:c r="E192" s="16" t="str">
        <x:v>C-03</x:v>
      </x:c>
      <x:c r="F192" s="14" t="str">
        <x:v>Normalized</x:v>
      </x:c>
      <x:c r="G192" s="14" t="str">
        <x:v>Trim whitespace and uppercase.</x:v>
      </x:c>
    </x:row>
    <x:row r="193" ht="44" customHeight="1">
      <x:c r="A193" s="2" t="str">
        <x:v>A0188</x:v>
      </x:c>
      <x:c r="B193" s="2" t="str">
        <x:v>R035</x:v>
      </x:c>
      <x:c r="C193" s="2" t="str">
        <x:v>Qty</x:v>
      </x:c>
      <x:c r="D193" s="16" t="str">
        <x:v>14</x:v>
      </x:c>
      <x:c r="E193" s="16" t="str">
        <x:v>14</x:v>
      </x:c>
      <x:c r="F193" s="14" t="str">
        <x:v>Typed number</x:v>
      </x:c>
      <x:c r="G193" s="14" t="str">
        <x:v>Parse explicit nonnegative number. Uncertain or negative values withheld.</x:v>
      </x:c>
    </x:row>
    <x:row r="194" ht="44" customHeight="1">
      <x:c r="A194" s="2" t="str">
        <x:v>A0189</x:v>
      </x:c>
      <x:c r="B194" s="2" t="str">
        <x:v>R035</x:v>
      </x:c>
      <x:c r="C194" s="2" t="str">
        <x:v>Unit cost USD</x:v>
      </x:c>
      <x:c r="D194" s="16" t="str">
        <x:v>42</x:v>
      </x:c>
      <x:c r="E194" s="16" t="str">
        <x:v>42</x:v>
      </x:c>
      <x:c r="F194" s="14" t="str">
        <x:v>Typed number</x:v>
      </x:c>
      <x:c r="G194" s="14" t="str">
        <x:v>Parse explicit USD numeric amount. Missing cost stays blank.</x:v>
      </x:c>
    </x:row>
    <x:row r="195" ht="44" customHeight="1">
      <x:c r="A195" s="2" t="str">
        <x:v>A0190</x:v>
      </x:c>
      <x:c r="B195" s="2" t="str">
        <x:v>R035</x:v>
      </x:c>
      <x:c r="C195" s="2" t="str">
        <x:v>Disposition</x:v>
      </x:c>
      <x:c r="D195" s="16" t="str">
        <x:v>[unclassified]</x:v>
      </x:c>
      <x:c r="E195" s="16" t="str">
        <x:v>Ready</x:v>
      </x:c>
      <x:c r="F195" s="14" t="str">
        <x:v>Classified</x:v>
      </x:c>
      <x:c r="G195" s="14" t="str">
        <x:v>Required fields valid and no identity or same-bin conflict.</x:v>
      </x:c>
    </x:row>
    <x:row r="196" ht="44" customHeight="1">
      <x:c r="A196" s="2" t="str">
        <x:v>A0191</x:v>
      </x:c>
      <x:c r="B196" s="2" t="str">
        <x:v>R036</x:v>
      </x:c>
      <x:c r="C196" s="2" t="str">
        <x:v>Bin</x:v>
      </x:c>
      <x:c r="D196" s="16" t="str">
        <x:v> c-04 </x:v>
      </x:c>
      <x:c r="E196" s="16" t="str">
        <x:v>C-04</x:v>
      </x:c>
      <x:c r="F196" s="14" t="str">
        <x:v>Normalized</x:v>
      </x:c>
      <x:c r="G196" s="14" t="str">
        <x:v>Trim whitespace and uppercase.</x:v>
      </x:c>
    </x:row>
    <x:row r="197" ht="44" customHeight="1">
      <x:c r="A197" s="2" t="str">
        <x:v>A0192</x:v>
      </x:c>
      <x:c r="B197" s="2" t="str">
        <x:v>R036</x:v>
      </x:c>
      <x:c r="C197" s="2" t="str">
        <x:v>Qty</x:v>
      </x:c>
      <x:c r="D197" s="16" t="str">
        <x:v> 21 </x:v>
      </x:c>
      <x:c r="E197" s="16" t="str">
        <x:v>21</x:v>
      </x:c>
      <x:c r="F197" s="14" t="str">
        <x:v>Typed number</x:v>
      </x:c>
      <x:c r="G197" s="14" t="str">
        <x:v>Parse explicit nonnegative number. Uncertain or negative values withheld.</x:v>
      </x:c>
    </x:row>
    <x:row r="198" ht="44" customHeight="1">
      <x:c r="A198" s="2" t="str">
        <x:v>A0193</x:v>
      </x:c>
      <x:c r="B198" s="2" t="str">
        <x:v>R036</x:v>
      </x:c>
      <x:c r="C198" s="2" t="str">
        <x:v>Unit cost USD</x:v>
      </x:c>
      <x:c r="D198" s="16" t="str">
        <x:v>46.8</x:v>
      </x:c>
      <x:c r="E198" s="16" t="str">
        <x:v>46.8</x:v>
      </x:c>
      <x:c r="F198" s="14" t="str">
        <x:v>Typed number</x:v>
      </x:c>
      <x:c r="G198" s="14" t="str">
        <x:v>Parse explicit USD numeric amount. Missing cost stays blank.</x:v>
      </x:c>
    </x:row>
    <x:row r="199" ht="44" customHeight="1">
      <x:c r="A199" s="2" t="str">
        <x:v>A0194</x:v>
      </x:c>
      <x:c r="B199" s="2" t="str">
        <x:v>R036</x:v>
      </x:c>
      <x:c r="C199" s="2" t="str">
        <x:v>Count date</x:v>
      </x:c>
      <x:c r="D199" s="16" t="str">
        <x:v>30 Sep 2026</x:v>
      </x:c>
      <x:c r="E199" s="16" t="str">
        <x:v>2026-09-30</x:v>
      </x:c>
      <x:c r="F199" s="14" t="str">
        <x:v>Normalized</x:v>
      </x:c>
      <x:c r="G199" s="14" t="str">
        <x:v>Parse ISO or spelled-month date only. Ambiguous or invalid date withheld.</x:v>
      </x:c>
    </x:row>
    <x:row r="200" ht="44" customHeight="1">
      <x:c r="A200" s="2" t="str">
        <x:v>A0195</x:v>
      </x:c>
      <x:c r="B200" s="2" t="str">
        <x:v>R036</x:v>
      </x:c>
      <x:c r="C200" s="2" t="str">
        <x:v>Disposition</x:v>
      </x:c>
      <x:c r="D200" s="16" t="str">
        <x:v>[unclassified]</x:v>
      </x:c>
      <x:c r="E200" s="16" t="str">
        <x:v>Ready</x:v>
      </x:c>
      <x:c r="F200" s="14" t="str">
        <x:v>Classified</x:v>
      </x:c>
      <x:c r="G200" s="14" t="str">
        <x:v>Required fields valid and no identity or same-bin conflict.</x:v>
      </x:c>
    </x:row>
    <x:row r="201" ht="44" customHeight="1">
      <x:c r="A201" s="2" t="str">
        <x:v>A0196</x:v>
      </x:c>
      <x:c r="B201" s="2" t="str">
        <x:v>R037</x:v>
      </x:c>
      <x:c r="C201" s="2" t="str">
        <x:v>SKU</x:v>
      </x:c>
      <x:c r="D201" s="16" t="str">
        <x:v> belt-b42 </x:v>
      </x:c>
      <x:c r="E201" s="16" t="str">
        <x:v>BELT-B42</x:v>
      </x:c>
      <x:c r="F201" s="14" t="str">
        <x:v>Normalized</x:v>
      </x:c>
      <x:c r="G201" s="14" t="str">
        <x:v>Trim whitespace and uppercase only. Punctuation and leading zeros retained.</x:v>
      </x:c>
    </x:row>
    <x:row r="202" ht="44" customHeight="1">
      <x:c r="A202" s="2" t="str">
        <x:v>A0197</x:v>
      </x:c>
      <x:c r="B202" s="2" t="str">
        <x:v>R037</x:v>
      </x:c>
      <x:c r="C202" s="2" t="str">
        <x:v>Description</x:v>
      </x:c>
      <x:c r="D202" s="16" t="str">
        <x:v> V-belt  B42 </x:v>
      </x:c>
      <x:c r="E202" s="16" t="str">
        <x:v>V-belt B42</x:v>
      </x:c>
      <x:c r="F202" s="14" t="str">
        <x:v>Normalized</x:v>
      </x:c>
      <x:c r="G202" s="14" t="str">
        <x:v>Collapse whitespace only. Conflicting descriptions withheld.</x:v>
      </x:c>
    </x:row>
    <x:row r="203" ht="44" customHeight="1">
      <x:c r="A203" s="2" t="str">
        <x:v>A0198</x:v>
      </x:c>
      <x:c r="B203" s="2" t="str">
        <x:v>R037</x:v>
      </x:c>
      <x:c r="C203" s="2" t="str">
        <x:v>Bin</x:v>
      </x:c>
      <x:c r="D203" s="16" t="str">
        <x:v> c-05 </x:v>
      </x:c>
      <x:c r="E203" s="16" t="str">
        <x:v>C-05</x:v>
      </x:c>
      <x:c r="F203" s="14" t="str">
        <x:v>Normalized</x:v>
      </x:c>
      <x:c r="G203" s="14" t="str">
        <x:v>Trim whitespace and uppercase.</x:v>
      </x:c>
    </x:row>
    <x:row r="204" ht="44" customHeight="1">
      <x:c r="A204" s="2" t="str">
        <x:v>A0199</x:v>
      </x:c>
      <x:c r="B204" s="2" t="str">
        <x:v>R037</x:v>
      </x:c>
      <x:c r="C204" s="2" t="str">
        <x:v>Qty</x:v>
      </x:c>
      <x:c r="D204" s="16" t="str">
        <x:v>28</x:v>
      </x:c>
      <x:c r="E204" s="16" t="str">
        <x:v>28</x:v>
      </x:c>
      <x:c r="F204" s="14" t="str">
        <x:v>Typed number</x:v>
      </x:c>
      <x:c r="G204" s="14" t="str">
        <x:v>Parse explicit nonnegative number. Uncertain or negative values withheld.</x:v>
      </x:c>
    </x:row>
    <x:row r="205" ht="44" customHeight="1">
      <x:c r="A205" s="2" t="str">
        <x:v>A0200</x:v>
      </x:c>
      <x:c r="B205" s="2" t="str">
        <x:v>R037</x:v>
      </x:c>
      <x:c r="C205" s="2" t="str">
        <x:v>UOM</x:v>
      </x:c>
      <x:c r="D205" s="16" t="str">
        <x:v>each</x:v>
      </x:c>
      <x:c r="E205" s="16" t="str">
        <x:v>EA</x:v>
      </x:c>
      <x:c r="F205" s="14" t="str">
        <x:v>Normalized</x:v>
      </x:c>
      <x:c r="G205" s="14" t="str">
        <x:v>Map explicit synonyms. No pack-size conversion.</x:v>
      </x:c>
    </x:row>
    <x:row r="206" ht="44" customHeight="1">
      <x:c r="A206" s="2" t="str">
        <x:v>A0201</x:v>
      </x:c>
      <x:c r="B206" s="2" t="str">
        <x:v>R037</x:v>
      </x:c>
      <x:c r="C206" s="2" t="str">
        <x:v>Unit cost USD</x:v>
      </x:c>
      <x:c r="D206" s="16" t="str">
        <x:v>$23.40</x:v>
      </x:c>
      <x:c r="E206" s="16" t="str">
        <x:v>23.4</x:v>
      </x:c>
      <x:c r="F206" s="14" t="str">
        <x:v>Typed number</x:v>
      </x:c>
      <x:c r="G206" s="14" t="str">
        <x:v>Parse explicit USD numeric amount. Missing cost stays blank.</x:v>
      </x:c>
    </x:row>
    <x:row r="207" ht="44" customHeight="1">
      <x:c r="A207" s="2" t="str">
        <x:v>A0202</x:v>
      </x:c>
      <x:c r="B207" s="2" t="str">
        <x:v>R037</x:v>
      </x:c>
      <x:c r="C207" s="2" t="str">
        <x:v>Disposition</x:v>
      </x:c>
      <x:c r="D207" s="16" t="str">
        <x:v>[unclassified]</x:v>
      </x:c>
      <x:c r="E207" s="16" t="str">
        <x:v>Ready</x:v>
      </x:c>
      <x:c r="F207" s="14" t="str">
        <x:v>Classified</x:v>
      </x:c>
      <x:c r="G207" s="14" t="str">
        <x:v>Required fields valid and no identity or same-bin conflict.</x:v>
      </x:c>
    </x:row>
    <x:row r="208" ht="44" customHeight="1">
      <x:c r="A208" s="2" t="str">
        <x:v>A0203</x:v>
      </x:c>
      <x:c r="B208" s="2" t="str">
        <x:v>R038</x:v>
      </x:c>
      <x:c r="C208" s="2" t="str">
        <x:v>Bin</x:v>
      </x:c>
      <x:c r="D208" s="16" t="str">
        <x:v> c-06 </x:v>
      </x:c>
      <x:c r="E208" s="16" t="str">
        <x:v>C-06</x:v>
      </x:c>
      <x:c r="F208" s="14" t="str">
        <x:v>Normalized</x:v>
      </x:c>
      <x:c r="G208" s="14" t="str">
        <x:v>Trim whitespace and uppercase.</x:v>
      </x:c>
    </x:row>
    <x:row r="209" ht="44" customHeight="1">
      <x:c r="A209" s="2" t="str">
        <x:v>A0204</x:v>
      </x:c>
      <x:c r="B209" s="2" t="str">
        <x:v>R038</x:v>
      </x:c>
      <x:c r="C209" s="2" t="str">
        <x:v>Qty</x:v>
      </x:c>
      <x:c r="D209" s="16" t="str">
        <x:v>35</x:v>
      </x:c>
      <x:c r="E209" s="16" t="str">
        <x:v>35</x:v>
      </x:c>
      <x:c r="F209" s="14" t="str">
        <x:v>Typed number</x:v>
      </x:c>
      <x:c r="G209" s="14" t="str">
        <x:v>Parse explicit nonnegative number. Uncertain or negative values withheld.</x:v>
      </x:c>
    </x:row>
    <x:row r="210" ht="44" customHeight="1">
      <x:c r="A210" s="2" t="str">
        <x:v>A0205</x:v>
      </x:c>
      <x:c r="B210" s="2" t="str">
        <x:v>R038</x:v>
      </x:c>
      <x:c r="C210" s="2" t="str">
        <x:v>Unit cost USD</x:v>
      </x:c>
      <x:c r="D210" s="16" t="str">
        <x:v>24.2</x:v>
      </x:c>
      <x:c r="E210" s="16" t="str">
        <x:v>24.2</x:v>
      </x:c>
      <x:c r="F210" s="14" t="str">
        <x:v>Typed number</x:v>
      </x:c>
      <x:c r="G210" s="14" t="str">
        <x:v>Parse explicit USD numeric amount. Missing cost stays blank.</x:v>
      </x:c>
    </x:row>
    <x:row r="211" ht="44" customHeight="1">
      <x:c r="A211" s="2" t="str">
        <x:v>A0206</x:v>
      </x:c>
      <x:c r="B211" s="2" t="str">
        <x:v>R038</x:v>
      </x:c>
      <x:c r="C211" s="2" t="str">
        <x:v>Count date</x:v>
      </x:c>
      <x:c r="D211" s="16" t="str">
        <x:v>30 Sep 2026</x:v>
      </x:c>
      <x:c r="E211" s="16" t="str">
        <x:v>2026-09-30</x:v>
      </x:c>
      <x:c r="F211" s="14" t="str">
        <x:v>Normalized</x:v>
      </x:c>
      <x:c r="G211" s="14" t="str">
        <x:v>Parse ISO or spelled-month date only. Ambiguous or invalid date withheld.</x:v>
      </x:c>
    </x:row>
    <x:row r="212" ht="44" customHeight="1">
      <x:c r="A212" s="2" t="str">
        <x:v>A0207</x:v>
      </x:c>
      <x:c r="B212" s="2" t="str">
        <x:v>R038</x:v>
      </x:c>
      <x:c r="C212" s="2" t="str">
        <x:v>Disposition</x:v>
      </x:c>
      <x:c r="D212" s="16" t="str">
        <x:v>[unclassified]</x:v>
      </x:c>
      <x:c r="E212" s="16" t="str">
        <x:v>Ready</x:v>
      </x:c>
      <x:c r="F212" s="14" t="str">
        <x:v>Classified</x:v>
      </x:c>
      <x:c r="G212" s="14" t="str">
        <x:v>Required fields valid and no identity or same-bin conflict.</x:v>
      </x:c>
    </x:row>
    <x:row r="213" ht="44" customHeight="1">
      <x:c r="A213" s="2" t="str">
        <x:v>A0208</x:v>
      </x:c>
      <x:c r="B213" s="2" t="str">
        <x:v>R039</x:v>
      </x:c>
      <x:c r="C213" s="2" t="str">
        <x:v>Bin</x:v>
      </x:c>
      <x:c r="D213" s="16" t="str">
        <x:v> c-07 </x:v>
      </x:c>
      <x:c r="E213" s="16" t="str">
        <x:v>C-07</x:v>
      </x:c>
      <x:c r="F213" s="14" t="str">
        <x:v>Normalized</x:v>
      </x:c>
      <x:c r="G213" s="14" t="str">
        <x:v>Trim whitespace and uppercase.</x:v>
      </x:c>
    </x:row>
    <x:row r="214" ht="44" customHeight="1">
      <x:c r="A214" s="2" t="str">
        <x:v>A0209</x:v>
      </x:c>
      <x:c r="B214" s="2" t="str">
        <x:v>R039</x:v>
      </x:c>
      <x:c r="C214" s="2" t="str">
        <x:v>Qty</x:v>
      </x:c>
      <x:c r="D214" s="16" t="str">
        <x:v>42</x:v>
      </x:c>
      <x:c r="E214" s="16" t="str">
        <x:v>42</x:v>
      </x:c>
      <x:c r="F214" s="14" t="str">
        <x:v>Typed number</x:v>
      </x:c>
      <x:c r="G214" s="14" t="str">
        <x:v>Parse explicit nonnegative number. Uncertain or negative values withheld.</x:v>
      </x:c>
    </x:row>
    <x:row r="215" ht="44" customHeight="1">
      <x:c r="A215" s="2" t="str">
        <x:v>A0210</x:v>
      </x:c>
      <x:c r="B215" s="2" t="str">
        <x:v>R039</x:v>
      </x:c>
      <x:c r="C215" s="2" t="str">
        <x:v>Unit cost USD</x:v>
      </x:c>
      <x:c r="D215" s="16" t="str">
        <x:v>8.6</x:v>
      </x:c>
      <x:c r="E215" s="16" t="str">
        <x:v>8.6</x:v>
      </x:c>
      <x:c r="F215" s="14" t="str">
        <x:v>Typed number</x:v>
      </x:c>
      <x:c r="G215" s="14" t="str">
        <x:v>Parse explicit USD numeric amount. Missing cost stays blank.</x:v>
      </x:c>
    </x:row>
    <x:row r="216" ht="44" customHeight="1">
      <x:c r="A216" s="2" t="str">
        <x:v>A0211</x:v>
      </x:c>
      <x:c r="B216" s="2" t="str">
        <x:v>R039</x:v>
      </x:c>
      <x:c r="C216" s="2" t="str">
        <x:v>Disposition</x:v>
      </x:c>
      <x:c r="D216" s="16" t="str">
        <x:v>[unclassified]</x:v>
      </x:c>
      <x:c r="E216" s="16" t="str">
        <x:v>Ready</x:v>
      </x:c>
      <x:c r="F216" s="14" t="str">
        <x:v>Classified</x:v>
      </x:c>
      <x:c r="G216" s="14" t="str">
        <x:v>Required fields valid and no identity or same-bin conflict.</x:v>
      </x:c>
    </x:row>
    <x:row r="217" ht="44" customHeight="1">
      <x:c r="A217" s="2" t="str">
        <x:v>A0212</x:v>
      </x:c>
      <x:c r="B217" s="2" t="str">
        <x:v>R040</x:v>
      </x:c>
      <x:c r="C217" s="2" t="str">
        <x:v>SKU</x:v>
      </x:c>
      <x:c r="D217" s="16" t="str">
        <x:v> seal-045 </x:v>
      </x:c>
      <x:c r="E217" s="16" t="str">
        <x:v>SEAL-045</x:v>
      </x:c>
      <x:c r="F217" s="14" t="str">
        <x:v>Normalized</x:v>
      </x:c>
      <x:c r="G217" s="14" t="str">
        <x:v>Trim whitespace and uppercase only. Punctuation and leading zeros retained.</x:v>
      </x:c>
    </x:row>
    <x:row r="218" ht="44" customHeight="1">
      <x:c r="A218" s="2" t="str">
        <x:v>A0213</x:v>
      </x:c>
      <x:c r="B218" s="2" t="str">
        <x:v>R040</x:v>
      </x:c>
      <x:c r="C218" s="2" t="str">
        <x:v>Bin</x:v>
      </x:c>
      <x:c r="D218" s="16" t="str">
        <x:v> c-08 </x:v>
      </x:c>
      <x:c r="E218" s="16" t="str">
        <x:v>C-08</x:v>
      </x:c>
      <x:c r="F218" s="14" t="str">
        <x:v>Normalized</x:v>
      </x:c>
      <x:c r="G218" s="14" t="str">
        <x:v>Trim whitespace and uppercase.</x:v>
      </x:c>
    </x:row>
    <x:row r="219" ht="44" customHeight="1">
      <x:c r="A219" s="2" t="str">
        <x:v>A0214</x:v>
      </x:c>
      <x:c r="B219" s="2" t="str">
        <x:v>R040</x:v>
      </x:c>
      <x:c r="C219" s="2" t="str">
        <x:v>Qty</x:v>
      </x:c>
      <x:c r="D219" s="16" t="str">
        <x:v>4</x:v>
      </x:c>
      <x:c r="E219" s="16" t="str">
        <x:v>4</x:v>
      </x:c>
      <x:c r="F219" s="14" t="str">
        <x:v>Typed number</x:v>
      </x:c>
      <x:c r="G219" s="14" t="str">
        <x:v>Parse explicit nonnegative number. Uncertain or negative values withheld.</x:v>
      </x:c>
    </x:row>
    <x:row r="220" ht="44" customHeight="1">
      <x:c r="A220" s="2" t="str">
        <x:v>A0215</x:v>
      </x:c>
      <x:c r="B220" s="2" t="str">
        <x:v>R040</x:v>
      </x:c>
      <x:c r="C220" s="2" t="str">
        <x:v>UOM</x:v>
      </x:c>
      <x:c r="D220" s="16" t="str">
        <x:v>each</x:v>
      </x:c>
      <x:c r="E220" s="16" t="str">
        <x:v>EA</x:v>
      </x:c>
      <x:c r="F220" s="14" t="str">
        <x:v>Normalized</x:v>
      </x:c>
      <x:c r="G220" s="14" t="str">
        <x:v>Map explicit synonyms. No pack-size conversion.</x:v>
      </x:c>
    </x:row>
    <x:row r="221" ht="44" customHeight="1">
      <x:c r="A221" s="2" t="str">
        <x:v>A0216</x:v>
      </x:c>
      <x:c r="B221" s="2" t="str">
        <x:v>R040</x:v>
      </x:c>
      <x:c r="C221" s="2" t="str">
        <x:v>Unit cost USD</x:v>
      </x:c>
      <x:c r="D221" s="16" t="str">
        <x:v>9.1</x:v>
      </x:c>
      <x:c r="E221" s="16" t="str">
        <x:v>9.1</x:v>
      </x:c>
      <x:c r="F221" s="14" t="str">
        <x:v>Typed number</x:v>
      </x:c>
      <x:c r="G221" s="14" t="str">
        <x:v>Parse explicit USD numeric amount. Missing cost stays blank.</x:v>
      </x:c>
    </x:row>
    <x:row r="222" ht="44" customHeight="1">
      <x:c r="A222" s="2" t="str">
        <x:v>A0217</x:v>
      </x:c>
      <x:c r="B222" s="2" t="str">
        <x:v>R040</x:v>
      </x:c>
      <x:c r="C222" s="2" t="str">
        <x:v>Count date</x:v>
      </x:c>
      <x:c r="D222" s="16" t="str">
        <x:v>30 Sep 2026</x:v>
      </x:c>
      <x:c r="E222" s="16" t="str">
        <x:v>2026-09-30</x:v>
      </x:c>
      <x:c r="F222" s="14" t="str">
        <x:v>Normalized</x:v>
      </x:c>
      <x:c r="G222" s="14" t="str">
        <x:v>Parse ISO or spelled-month date only. Ambiguous or invalid date withheld.</x:v>
      </x:c>
    </x:row>
    <x:row r="223" ht="44" customHeight="1">
      <x:c r="A223" s="2" t="str">
        <x:v>A0218</x:v>
      </x:c>
      <x:c r="B223" s="2" t="str">
        <x:v>R040</x:v>
      </x:c>
      <x:c r="C223" s="2" t="str">
        <x:v>Disposition</x:v>
      </x:c>
      <x:c r="D223" s="16" t="str">
        <x:v>[unclassified]</x:v>
      </x:c>
      <x:c r="E223" s="16" t="str">
        <x:v>Ready</x:v>
      </x:c>
      <x:c r="F223" s="14" t="str">
        <x:v>Classified</x:v>
      </x:c>
      <x:c r="G223" s="14" t="str">
        <x:v>Required fields valid and no identity or same-bin conflict.</x:v>
      </x:c>
    </x:row>
    <x:row r="224" ht="44" customHeight="1">
      <x:c r="A224" s="2" t="str">
        <x:v>A0219</x:v>
      </x:c>
      <x:c r="B224" s="2" t="str">
        <x:v>R041</x:v>
      </x:c>
      <x:c r="C224" s="2" t="str">
        <x:v>Description</x:v>
      </x:c>
      <x:c r="D224" s="16" t="str">
        <x:v> Bolt  M12  x  40  mm </x:v>
      </x:c>
      <x:c r="E224" s="16" t="str">
        <x:v>Bolt M12 x 40 mm</x:v>
      </x:c>
      <x:c r="F224" s="14" t="str">
        <x:v>Normalized</x:v>
      </x:c>
      <x:c r="G224" s="14" t="str">
        <x:v>Collapse whitespace only. Conflicting descriptions withheld.</x:v>
      </x:c>
    </x:row>
    <x:row r="225" ht="44" customHeight="1">
      <x:c r="A225" s="2" t="str">
        <x:v>A0220</x:v>
      </x:c>
      <x:c r="B225" s="2" t="str">
        <x:v>R041</x:v>
      </x:c>
      <x:c r="C225" s="2" t="str">
        <x:v>Bin</x:v>
      </x:c>
      <x:c r="D225" s="16" t="str">
        <x:v> c-09 </x:v>
      </x:c>
      <x:c r="E225" s="16" t="str">
        <x:v>C-09</x:v>
      </x:c>
      <x:c r="F225" s="14" t="str">
        <x:v>Normalized</x:v>
      </x:c>
      <x:c r="G225" s="14" t="str">
        <x:v>Trim whitespace and uppercase.</x:v>
      </x:c>
    </x:row>
    <x:row r="226" ht="44" customHeight="1">
      <x:c r="A226" s="2" t="str">
        <x:v>A0221</x:v>
      </x:c>
      <x:c r="B226" s="2" t="str">
        <x:v>R041</x:v>
      </x:c>
      <x:c r="C226" s="2" t="str">
        <x:v>Qty</x:v>
      </x:c>
      <x:c r="D226" s="16" t="str">
        <x:v> 11 </x:v>
      </x:c>
      <x:c r="E226" s="16" t="str">
        <x:v>11</x:v>
      </x:c>
      <x:c r="F226" s="14" t="str">
        <x:v>Typed number</x:v>
      </x:c>
      <x:c r="G226" s="14" t="str">
        <x:v>Parse explicit nonnegative number. Uncertain or negative values withheld.</x:v>
      </x:c>
    </x:row>
    <x:row r="227" ht="44" customHeight="1">
      <x:c r="A227" s="2" t="str">
        <x:v>A0222</x:v>
      </x:c>
      <x:c r="B227" s="2" t="str">
        <x:v>R041</x:v>
      </x:c>
      <x:c r="C227" s="2" t="str">
        <x:v>Unit cost USD</x:v>
      </x:c>
      <x:c r="D227" s="16" t="str">
        <x:v>$0.85</x:v>
      </x:c>
      <x:c r="E227" s="16" t="str">
        <x:v>0.85</x:v>
      </x:c>
      <x:c r="F227" s="14" t="str">
        <x:v>Typed number</x:v>
      </x:c>
      <x:c r="G227" s="14" t="str">
        <x:v>Parse explicit USD numeric amount. Missing cost stays blank.</x:v>
      </x:c>
    </x:row>
    <x:row r="228" ht="44" customHeight="1">
      <x:c r="A228" s="2" t="str">
        <x:v>A0223</x:v>
      </x:c>
      <x:c r="B228" s="2" t="str">
        <x:v>R041</x:v>
      </x:c>
      <x:c r="C228" s="2" t="str">
        <x:v>Disposition</x:v>
      </x:c>
      <x:c r="D228" s="16" t="str">
        <x:v>[unclassified]</x:v>
      </x:c>
      <x:c r="E228" s="16" t="str">
        <x:v>Ready</x:v>
      </x:c>
      <x:c r="F228" s="14" t="str">
        <x:v>Classified</x:v>
      </x:c>
      <x:c r="G228" s="14" t="str">
        <x:v>Required fields valid and no identity or same-bin conflict.</x:v>
      </x:c>
    </x:row>
    <x:row r="229" ht="44" customHeight="1">
      <x:c r="A229" s="2" t="str">
        <x:v>A0224</x:v>
      </x:c>
      <x:c r="B229" s="2" t="str">
        <x:v>R042</x:v>
      </x:c>
      <x:c r="C229" s="2" t="str">
        <x:v>Bin</x:v>
      </x:c>
      <x:c r="D229" s="16" t="str">
        <x:v> c-10 </x:v>
      </x:c>
      <x:c r="E229" s="16" t="str">
        <x:v>C-10</x:v>
      </x:c>
      <x:c r="F229" s="14" t="str">
        <x:v>Normalized</x:v>
      </x:c>
      <x:c r="G229" s="14" t="str">
        <x:v>Trim whitespace and uppercase.</x:v>
      </x:c>
    </x:row>
    <x:row r="230" ht="44" customHeight="1">
      <x:c r="A230" s="2" t="str">
        <x:v>A0225</x:v>
      </x:c>
      <x:c r="B230" s="2" t="str">
        <x:v>R042</x:v>
      </x:c>
      <x:c r="C230" s="2" t="str">
        <x:v>Qty</x:v>
      </x:c>
      <x:c r="D230" s="16" t="str">
        <x:v>18</x:v>
      </x:c>
      <x:c r="E230" s="16" t="str">
        <x:v>18</x:v>
      </x:c>
      <x:c r="F230" s="14" t="str">
        <x:v>Typed number</x:v>
      </x:c>
      <x:c r="G230" s="14" t="str">
        <x:v>Parse explicit nonnegative number. Uncertain or negative values withheld.</x:v>
      </x:c>
    </x:row>
    <x:row r="231" ht="44" customHeight="1">
      <x:c r="A231" s="2" t="str">
        <x:v>A0226</x:v>
      </x:c>
      <x:c r="B231" s="2" t="str">
        <x:v>R042</x:v>
      </x:c>
      <x:c r="C231" s="2" t="str">
        <x:v>Unit cost USD</x:v>
      </x:c>
      <x:c r="D231" s="16" t="str">
        <x:v>0.95</x:v>
      </x:c>
      <x:c r="E231" s="16" t="str">
        <x:v>0.95</x:v>
      </x:c>
      <x:c r="F231" s="14" t="str">
        <x:v>Typed number</x:v>
      </x:c>
      <x:c r="G231" s="14" t="str">
        <x:v>Parse explicit USD numeric amount. Missing cost stays blank.</x:v>
      </x:c>
    </x:row>
    <x:row r="232" ht="44" customHeight="1">
      <x:c r="A232" s="2" t="str">
        <x:v>A0227</x:v>
      </x:c>
      <x:c r="B232" s="2" t="str">
        <x:v>R042</x:v>
      </x:c>
      <x:c r="C232" s="2" t="str">
        <x:v>Count date</x:v>
      </x:c>
      <x:c r="D232" s="16" t="str">
        <x:v>30 Sep 2026</x:v>
      </x:c>
      <x:c r="E232" s="16" t="str">
        <x:v>2026-09-30</x:v>
      </x:c>
      <x:c r="F232" s="14" t="str">
        <x:v>Normalized</x:v>
      </x:c>
      <x:c r="G232" s="14" t="str">
        <x:v>Parse ISO or spelled-month date only. Ambiguous or invalid date withheld.</x:v>
      </x:c>
    </x:row>
    <x:row r="233" ht="44" customHeight="1">
      <x:c r="A233" s="2" t="str">
        <x:v>A0228</x:v>
      </x:c>
      <x:c r="B233" s="2" t="str">
        <x:v>R042</x:v>
      </x:c>
      <x:c r="C233" s="2" t="str">
        <x:v>Disposition</x:v>
      </x:c>
      <x:c r="D233" s="16" t="str">
        <x:v>[unclassified]</x:v>
      </x:c>
      <x:c r="E233" s="16" t="str">
        <x:v>Ready</x:v>
      </x:c>
      <x:c r="F233" s="14" t="str">
        <x:v>Classified</x:v>
      </x:c>
      <x:c r="G233" s="14" t="str">
        <x:v>Required fields valid and no identity or same-bin conflict.</x:v>
      </x:c>
    </x:row>
    <x:row r="234" ht="44" customHeight="1">
      <x:c r="A234" s="2" t="str">
        <x:v>A0229</x:v>
      </x:c>
      <x:c r="B234" s="2" t="str">
        <x:v>R043</x:v>
      </x:c>
      <x:c r="C234" s="2" t="str">
        <x:v>SKU</x:v>
      </x:c>
      <x:c r="D234" s="16" t="str">
        <x:v> hose-038 </x:v>
      </x:c>
      <x:c r="E234" s="16" t="str">
        <x:v>HOSE-038</x:v>
      </x:c>
      <x:c r="F234" s="14" t="str">
        <x:v>Normalized</x:v>
      </x:c>
      <x:c r="G234" s="14" t="str">
        <x:v>Trim whitespace and uppercase only. Punctuation and leading zeros retained.</x:v>
      </x:c>
    </x:row>
    <x:row r="235" ht="44" customHeight="1">
      <x:c r="A235" s="2" t="str">
        <x:v>A0230</x:v>
      </x:c>
      <x:c r="B235" s="2" t="str">
        <x:v>R043</x:v>
      </x:c>
      <x:c r="C235" s="2" t="str">
        <x:v>Bin</x:v>
      </x:c>
      <x:c r="D235" s="16" t="str">
        <x:v> c-11 </x:v>
      </x:c>
      <x:c r="E235" s="16" t="str">
        <x:v>C-11</x:v>
      </x:c>
      <x:c r="F235" s="14" t="str">
        <x:v>Normalized</x:v>
      </x:c>
      <x:c r="G235" s="14" t="str">
        <x:v>Trim whitespace and uppercase.</x:v>
      </x:c>
    </x:row>
    <x:row r="236" ht="44" customHeight="1">
      <x:c r="A236" s="2" t="str">
        <x:v>A0231</x:v>
      </x:c>
      <x:c r="B236" s="2" t="str">
        <x:v>R043</x:v>
      </x:c>
      <x:c r="C236" s="2" t="str">
        <x:v>Qty</x:v>
      </x:c>
      <x:c r="D236" s="16" t="str">
        <x:v>33.5</x:v>
      </x:c>
      <x:c r="E236" s="16" t="str">
        <x:v>33.5</x:v>
      </x:c>
      <x:c r="F236" s="14" t="str">
        <x:v>Typed number</x:v>
      </x:c>
      <x:c r="G236" s="14" t="str">
        <x:v>Parse explicit nonnegative number. Uncertain or negative values withheld.</x:v>
      </x:c>
    </x:row>
    <x:row r="237" ht="44" customHeight="1">
      <x:c r="A237" s="2" t="str">
        <x:v>A0232</x:v>
      </x:c>
      <x:c r="B237" s="2" t="str">
        <x:v>R043</x:v>
      </x:c>
      <x:c r="C237" s="2" t="str">
        <x:v>UOM</x:v>
      </x:c>
      <x:c r="D237" s="16" t="str">
        <x:v>metres</x:v>
      </x:c>
      <x:c r="E237" s="16" t="str">
        <x:v>M</x:v>
      </x:c>
      <x:c r="F237" s="14" t="str">
        <x:v>Normalized</x:v>
      </x:c>
      <x:c r="G237" s="14" t="str">
        <x:v>Map explicit synonyms. No pack-size conversion.</x:v>
      </x:c>
    </x:row>
    <x:row r="238" ht="44" customHeight="1">
      <x:c r="A238" s="2" t="str">
        <x:v>A0233</x:v>
      </x:c>
      <x:c r="B238" s="2" t="str">
        <x:v>R043</x:v>
      </x:c>
      <x:c r="C238" s="2" t="str">
        <x:v>Unit cost USD</x:v>
      </x:c>
      <x:c r="D238" s="16" t="str">
        <x:v>12.5</x:v>
      </x:c>
      <x:c r="E238" s="16" t="str">
        <x:v>12.5</x:v>
      </x:c>
      <x:c r="F238" s="14" t="str">
        <x:v>Typed number</x:v>
      </x:c>
      <x:c r="G238" s="14" t="str">
        <x:v>Parse explicit USD numeric amount. Missing cost stays blank.</x:v>
      </x:c>
    </x:row>
    <x:row r="239" ht="44" customHeight="1">
      <x:c r="A239" s="2" t="str">
        <x:v>A0234</x:v>
      </x:c>
      <x:c r="B239" s="2" t="str">
        <x:v>R043</x:v>
      </x:c>
      <x:c r="C239" s="2" t="str">
        <x:v>Disposition</x:v>
      </x:c>
      <x:c r="D239" s="16" t="str">
        <x:v>[unclassified]</x:v>
      </x:c>
      <x:c r="E239" s="16" t="str">
        <x:v>Ready</x:v>
      </x:c>
      <x:c r="F239" s="14" t="str">
        <x:v>Classified</x:v>
      </x:c>
      <x:c r="G239" s="14" t="str">
        <x:v>Required fields valid and no identity or same-bin conflict.</x:v>
      </x:c>
    </x:row>
    <x:row r="240" ht="44" customHeight="1">
      <x:c r="A240" s="2" t="str">
        <x:v>A0235</x:v>
      </x:c>
      <x:c r="B240" s="2" t="str">
        <x:v>R044</x:v>
      </x:c>
      <x:c r="C240" s="2" t="str">
        <x:v>Bin</x:v>
      </x:c>
      <x:c r="D240" s="16" t="str">
        <x:v> c-12 </x:v>
      </x:c>
      <x:c r="E240" s="16" t="str">
        <x:v>C-12</x:v>
      </x:c>
      <x:c r="F240" s="14" t="str">
        <x:v>Normalized</x:v>
      </x:c>
      <x:c r="G240" s="14" t="str">
        <x:v>Trim whitespace and uppercase.</x:v>
      </x:c>
    </x:row>
    <x:row r="241" ht="44" customHeight="1">
      <x:c r="A241" s="2" t="str">
        <x:v>A0236</x:v>
      </x:c>
      <x:c r="B241" s="2" t="str">
        <x:v>R044</x:v>
      </x:c>
      <x:c r="C241" s="2" t="str">
        <x:v>Qty</x:v>
      </x:c>
      <x:c r="D241" s="16" t="str">
        <x:v>39</x:v>
      </x:c>
      <x:c r="E241" s="16" t="str">
        <x:v>39</x:v>
      </x:c>
      <x:c r="F241" s="14" t="str">
        <x:v>Typed number</x:v>
      </x:c>
      <x:c r="G241" s="14" t="str">
        <x:v>Parse explicit nonnegative number. Uncertain or negative values withheld.</x:v>
      </x:c>
    </x:row>
    <x:row r="242" ht="44" customHeight="1">
      <x:c r="A242" s="2" t="str">
        <x:v>A0237</x:v>
      </x:c>
      <x:c r="B242" s="2" t="str">
        <x:v>R044</x:v>
      </x:c>
      <x:c r="C242" s="2" t="str">
        <x:v>Unit cost USD</x:v>
      </x:c>
      <x:c r="D242" s="16" t="str">
        <x:v>15.8</x:v>
      </x:c>
      <x:c r="E242" s="16" t="str">
        <x:v>15.8</x:v>
      </x:c>
      <x:c r="F242" s="14" t="str">
        <x:v>Typed number</x:v>
      </x:c>
      <x:c r="G242" s="14" t="str">
        <x:v>Parse explicit USD numeric amount. Missing cost stays blank.</x:v>
      </x:c>
    </x:row>
    <x:row r="243" ht="44" customHeight="1">
      <x:c r="A243" s="2" t="str">
        <x:v>A0238</x:v>
      </x:c>
      <x:c r="B243" s="2" t="str">
        <x:v>R044</x:v>
      </x:c>
      <x:c r="C243" s="2" t="str">
        <x:v>Count date</x:v>
      </x:c>
      <x:c r="D243" s="16" t="str">
        <x:v>30 Sep 2026</x:v>
      </x:c>
      <x:c r="E243" s="16" t="str">
        <x:v>2026-09-30</x:v>
      </x:c>
      <x:c r="F243" s="14" t="str">
        <x:v>Normalized</x:v>
      </x:c>
      <x:c r="G243" s="14" t="str">
        <x:v>Parse ISO or spelled-month date only. Ambiguous or invalid date withheld.</x:v>
      </x:c>
    </x:row>
    <x:row r="244" ht="44" customHeight="1">
      <x:c r="A244" s="2" t="str">
        <x:v>A0239</x:v>
      </x:c>
      <x:c r="B244" s="2" t="str">
        <x:v>R044</x:v>
      </x:c>
      <x:c r="C244" s="2" t="str">
        <x:v>Disposition</x:v>
      </x:c>
      <x:c r="D244" s="16" t="str">
        <x:v>[unclassified]</x:v>
      </x:c>
      <x:c r="E244" s="16" t="str">
        <x:v>Ready</x:v>
      </x:c>
      <x:c r="F244" s="14" t="str">
        <x:v>Classified</x:v>
      </x:c>
      <x:c r="G244" s="14" t="str">
        <x:v>Required fields valid and no identity or same-bin conflict.</x:v>
      </x:c>
    </x:row>
    <x:row r="245" ht="44" customHeight="1">
      <x:c r="A245" s="2" t="str">
        <x:v>A0240</x:v>
      </x:c>
      <x:c r="B245" s="2" t="str">
        <x:v>R045</x:v>
      </x:c>
      <x:c r="C245" s="2" t="str">
        <x:v>Description</x:v>
      </x:c>
      <x:c r="D245" s="16" t="str">
        <x:v> EP2  grease </x:v>
      </x:c>
      <x:c r="E245" s="16" t="str">
        <x:v>EP2 grease</x:v>
      </x:c>
      <x:c r="F245" s="14" t="str">
        <x:v>Normalized</x:v>
      </x:c>
      <x:c r="G245" s="14" t="str">
        <x:v>Collapse whitespace only. Conflicting descriptions withheld.</x:v>
      </x:c>
    </x:row>
    <x:row r="246" ht="44" customHeight="1">
      <x:c r="A246" s="2" t="str">
        <x:v>A0241</x:v>
      </x:c>
      <x:c r="B246" s="2" t="str">
        <x:v>R045</x:v>
      </x:c>
      <x:c r="C246" s="2" t="str">
        <x:v>Bin</x:v>
      </x:c>
      <x:c r="D246" s="16" t="str">
        <x:v> c-13 </x:v>
      </x:c>
      <x:c r="E246" s="16" t="str">
        <x:v>C-13</x:v>
      </x:c>
      <x:c r="F246" s="14" t="str">
        <x:v>Normalized</x:v>
      </x:c>
      <x:c r="G246" s="14" t="str">
        <x:v>Trim whitespace and uppercase.</x:v>
      </x:c>
    </x:row>
    <x:row r="247" ht="44" customHeight="1">
      <x:c r="A247" s="2" t="str">
        <x:v>A0242</x:v>
      </x:c>
      <x:c r="B247" s="2" t="str">
        <x:v>R045</x:v>
      </x:c>
      <x:c r="C247" s="2" t="str">
        <x:v>Qty</x:v>
      </x:c>
      <x:c r="D247" s="16" t="str">
        <x:v>4.5</x:v>
      </x:c>
      <x:c r="E247" s="16" t="str">
        <x:v>4.5</x:v>
      </x:c>
      <x:c r="F247" s="14" t="str">
        <x:v>Typed number</x:v>
      </x:c>
      <x:c r="G247" s="14" t="str">
        <x:v>Parse explicit nonnegative number. Uncertain or negative values withheld.</x:v>
      </x:c>
    </x:row>
    <x:row r="248" ht="44" customHeight="1">
      <x:c r="A248" s="2" t="str">
        <x:v>A0243</x:v>
      </x:c>
      <x:c r="B248" s="2" t="str">
        <x:v>R045</x:v>
      </x:c>
      <x:c r="C248" s="2" t="str">
        <x:v>Unit cost USD</x:v>
      </x:c>
      <x:c r="D248" s="16" t="str">
        <x:v>$7.90</x:v>
      </x:c>
      <x:c r="E248" s="16" t="str">
        <x:v>7.9</x:v>
      </x:c>
      <x:c r="F248" s="14" t="str">
        <x:v>Typed number</x:v>
      </x:c>
      <x:c r="G248" s="14" t="str">
        <x:v>Parse explicit USD numeric amount. Missing cost stays blank.</x:v>
      </x:c>
    </x:row>
    <x:row r="249" ht="44" customHeight="1">
      <x:c r="A249" s="2" t="str">
        <x:v>A0244</x:v>
      </x:c>
      <x:c r="B249" s="2" t="str">
        <x:v>R045</x:v>
      </x:c>
      <x:c r="C249" s="2" t="str">
        <x:v>Disposition</x:v>
      </x:c>
      <x:c r="D249" s="16" t="str">
        <x:v>[unclassified]</x:v>
      </x:c>
      <x:c r="E249" s="16" t="str">
        <x:v>Ready</x:v>
      </x:c>
      <x:c r="F249" s="14" t="str">
        <x:v>Classified</x:v>
      </x:c>
      <x:c r="G249" s="14" t="str">
        <x:v>Required fields valid and no identity or same-bin conflict.</x:v>
      </x:c>
    </x:row>
    <x:row r="250" ht="44" customHeight="1">
      <x:c r="A250" s="2" t="str">
        <x:v>A0245</x:v>
      </x:c>
      <x:c r="B250" s="2" t="str">
        <x:v>R046</x:v>
      </x:c>
      <x:c r="C250" s="2" t="str">
        <x:v>SKU</x:v>
      </x:c>
      <x:c r="D250" s="16" t="str">
        <x:v> oil-iso46 </x:v>
      </x:c>
      <x:c r="E250" s="16" t="str">
        <x:v>OIL-ISO46</x:v>
      </x:c>
      <x:c r="F250" s="14" t="str">
        <x:v>Normalized</x:v>
      </x:c>
      <x:c r="G250" s="14" t="str">
        <x:v>Trim whitespace and uppercase only. Punctuation and leading zeros retained.</x:v>
      </x:c>
    </x:row>
    <x:row r="251" ht="44" customHeight="1">
      <x:c r="A251" s="2" t="str">
        <x:v>A0246</x:v>
      </x:c>
      <x:c r="B251" s="2" t="str">
        <x:v>R046</x:v>
      </x:c>
      <x:c r="C251" s="2" t="str">
        <x:v>Bin</x:v>
      </x:c>
      <x:c r="D251" s="16" t="str">
        <x:v> c-14 </x:v>
      </x:c>
      <x:c r="E251" s="16" t="str">
        <x:v>C-14</x:v>
      </x:c>
      <x:c r="F251" s="14" t="str">
        <x:v>Normalized</x:v>
      </x:c>
      <x:c r="G251" s="14" t="str">
        <x:v>Trim whitespace and uppercase.</x:v>
      </x:c>
    </x:row>
    <x:row r="252" ht="44" customHeight="1">
      <x:c r="A252" s="2" t="str">
        <x:v>A0247</x:v>
      </x:c>
      <x:c r="B252" s="2" t="str">
        <x:v>R046</x:v>
      </x:c>
      <x:c r="C252" s="2" t="str">
        <x:v>Qty</x:v>
      </x:c>
      <x:c r="D252" s="16" t="str">
        <x:v> 10 </x:v>
      </x:c>
      <x:c r="E252" s="16" t="str">
        <x:v>10</x:v>
      </x:c>
      <x:c r="F252" s="14" t="str">
        <x:v>Typed number</x:v>
      </x:c>
      <x:c r="G252" s="14" t="str">
        <x:v>Parse explicit nonnegative number. Uncertain or negative values withheld.</x:v>
      </x:c>
    </x:row>
    <x:row r="253" ht="44" customHeight="1">
      <x:c r="A253" s="2" t="str">
        <x:v>A0248</x:v>
      </x:c>
      <x:c r="B253" s="2" t="str">
        <x:v>R046</x:v>
      </x:c>
      <x:c r="C253" s="2" t="str">
        <x:v>UOM</x:v>
      </x:c>
      <x:c r="D253" s="16" t="str">
        <x:v>litres</x:v>
      </x:c>
      <x:c r="E253" s="16" t="str">
        <x:v>L</x:v>
      </x:c>
      <x:c r="F253" s="14" t="str">
        <x:v>Normalized</x:v>
      </x:c>
      <x:c r="G253" s="14" t="str">
        <x:v>Map explicit synonyms. No pack-size conversion.</x:v>
      </x:c>
    </x:row>
    <x:row r="254" ht="44" customHeight="1">
      <x:c r="A254" s="2" t="str">
        <x:v>A0249</x:v>
      </x:c>
      <x:c r="B254" s="2" t="str">
        <x:v>R046</x:v>
      </x:c>
      <x:c r="C254" s="2" t="str">
        <x:v>Unit cost USD</x:v>
      </x:c>
      <x:c r="D254" s="16" t="str">
        <x:v>5.6</x:v>
      </x:c>
      <x:c r="E254" s="16" t="str">
        <x:v>5.6</x:v>
      </x:c>
      <x:c r="F254" s="14" t="str">
        <x:v>Typed number</x:v>
      </x:c>
      <x:c r="G254" s="14" t="str">
        <x:v>Parse explicit USD numeric amount. Missing cost stays blank.</x:v>
      </x:c>
    </x:row>
    <x:row r="255" ht="44" customHeight="1">
      <x:c r="A255" s="2" t="str">
        <x:v>A0250</x:v>
      </x:c>
      <x:c r="B255" s="2" t="str">
        <x:v>R046</x:v>
      </x:c>
      <x:c r="C255" s="2" t="str">
        <x:v>Count date</x:v>
      </x:c>
      <x:c r="D255" s="16" t="str">
        <x:v>30 Sep 2026</x:v>
      </x:c>
      <x:c r="E255" s="16" t="str">
        <x:v>2026-09-30</x:v>
      </x:c>
      <x:c r="F255" s="14" t="str">
        <x:v>Normalized</x:v>
      </x:c>
      <x:c r="G255" s="14" t="str">
        <x:v>Parse ISO or spelled-month date only. Ambiguous or invalid date withheld.</x:v>
      </x:c>
    </x:row>
    <x:row r="256" ht="44" customHeight="1">
      <x:c r="A256" s="2" t="str">
        <x:v>A0251</x:v>
      </x:c>
      <x:c r="B256" s="2" t="str">
        <x:v>R046</x:v>
      </x:c>
      <x:c r="C256" s="2" t="str">
        <x:v>Disposition</x:v>
      </x:c>
      <x:c r="D256" s="16" t="str">
        <x:v>[unclassified]</x:v>
      </x:c>
      <x:c r="E256" s="16" t="str">
        <x:v>Ready</x:v>
      </x:c>
      <x:c r="F256" s="14" t="str">
        <x:v>Classified</x:v>
      </x:c>
      <x:c r="G256" s="14" t="str">
        <x:v>Required fields valid and no identity or same-bin conflict.</x:v>
      </x:c>
    </x:row>
    <x:row r="257" ht="44" customHeight="1">
      <x:c r="A257" s="2" t="str">
        <x:v>A0252</x:v>
      </x:c>
      <x:c r="B257" s="2" t="str">
        <x:v>R047</x:v>
      </x:c>
      <x:c r="C257" s="2" t="str">
        <x:v>Bin</x:v>
      </x:c>
      <x:c r="D257" s="16" t="str">
        <x:v> c-15 </x:v>
      </x:c>
      <x:c r="E257" s="16" t="str">
        <x:v>C-15</x:v>
      </x:c>
      <x:c r="F257" s="14" t="str">
        <x:v>Normalized</x:v>
      </x:c>
      <x:c r="G257" s="14" t="str">
        <x:v>Trim whitespace and uppercase.</x:v>
      </x:c>
    </x:row>
    <x:row r="258" ht="44" customHeight="1">
      <x:c r="A258" s="2" t="str">
        <x:v>A0253</x:v>
      </x:c>
      <x:c r="B258" s="2" t="str">
        <x:v>R047</x:v>
      </x:c>
      <x:c r="C258" s="2" t="str">
        <x:v>Qty</x:v>
      </x:c>
      <x:c r="D258" s="16" t="str">
        <x:v>8</x:v>
      </x:c>
      <x:c r="E258" s="16" t="str">
        <x:v>8</x:v>
      </x:c>
      <x:c r="F258" s="14" t="str">
        <x:v>Typed number</x:v>
      </x:c>
      <x:c r="G258" s="14" t="str">
        <x:v>Parse explicit nonnegative number. Uncertain or negative values withheld.</x:v>
      </x:c>
    </x:row>
    <x:row r="259" ht="44" customHeight="1">
      <x:c r="A259" s="2" t="str">
        <x:v>A0254</x:v>
      </x:c>
      <x:c r="B259" s="2" t="str">
        <x:v>R047</x:v>
      </x:c>
      <x:c r="C259" s="2" t="str">
        <x:v>Unit cost USD</x:v>
      </x:c>
      <x:c r="D259" s="16" t="str">
        <x:v>31</x:v>
      </x:c>
      <x:c r="E259" s="16" t="str">
        <x:v>31</x:v>
      </x:c>
      <x:c r="F259" s="14" t="str">
        <x:v>Typed number</x:v>
      </x:c>
      <x:c r="G259" s="14" t="str">
        <x:v>Parse explicit USD numeric amount. Missing cost stays blank.</x:v>
      </x:c>
    </x:row>
    <x:row r="260" ht="44" customHeight="1">
      <x:c r="A260" s="2" t="str">
        <x:v>A0255</x:v>
      </x:c>
      <x:c r="B260" s="2" t="str">
        <x:v>R047</x:v>
      </x:c>
      <x:c r="C260" s="2" t="str">
        <x:v>Disposition</x:v>
      </x:c>
      <x:c r="D260" s="16" t="str">
        <x:v>[unclassified]</x:v>
      </x:c>
      <x:c r="E260" s="16" t="str">
        <x:v>Ready</x:v>
      </x:c>
      <x:c r="F260" s="14" t="str">
        <x:v>Classified</x:v>
      </x:c>
      <x:c r="G260" s="14" t="str">
        <x:v>Required fields valid and no identity or same-bin conflict.</x:v>
      </x:c>
    </x:row>
    <x:row r="261" ht="44" customHeight="1">
      <x:c r="A261" s="2" t="str">
        <x:v>A0256</x:v>
      </x:c>
      <x:c r="B261" s="2" t="str">
        <x:v>R048</x:v>
      </x:c>
      <x:c r="C261" s="2" t="str">
        <x:v>Bin</x:v>
      </x:c>
      <x:c r="D261" s="16" t="str">
        <x:v> c-16 </x:v>
      </x:c>
      <x:c r="E261" s="16" t="str">
        <x:v>C-16</x:v>
      </x:c>
      <x:c r="F261" s="14" t="str">
        <x:v>Normalized</x:v>
      </x:c>
      <x:c r="G261" s="14" t="str">
        <x:v>Trim whitespace and uppercase.</x:v>
      </x:c>
    </x:row>
    <x:row r="262" ht="44" customHeight="1">
      <x:c r="A262" s="2" t="str">
        <x:v>A0257</x:v>
      </x:c>
      <x:c r="B262" s="2" t="str">
        <x:v>R048</x:v>
      </x:c>
      <x:c r="C262" s="2" t="str">
        <x:v>Qty</x:v>
      </x:c>
      <x:c r="D262" s="16" t="str">
        <x:v>15</x:v>
      </x:c>
      <x:c r="E262" s="16" t="str">
        <x:v>15</x:v>
      </x:c>
      <x:c r="F262" s="14" t="str">
        <x:v>Typed number</x:v>
      </x:c>
      <x:c r="G262" s="14" t="str">
        <x:v>Parse explicit nonnegative number. Uncertain or negative values withheld.</x:v>
      </x:c>
    </x:row>
    <x:row r="263" ht="44" customHeight="1">
      <x:c r="A263" s="2" t="str">
        <x:v>A0258</x:v>
      </x:c>
      <x:c r="B263" s="2" t="str">
        <x:v>R048</x:v>
      </x:c>
      <x:c r="C263" s="2" t="str">
        <x:v>Unit cost USD</x:v>
      </x:c>
      <x:c r="D263" s="16" t="str">
        <x:v>34</x:v>
      </x:c>
      <x:c r="E263" s="16" t="str">
        <x:v>34</x:v>
      </x:c>
      <x:c r="F263" s="14" t="str">
        <x:v>Typed number</x:v>
      </x:c>
      <x:c r="G263" s="14" t="str">
        <x:v>Parse explicit USD numeric amount. Missing cost stays blank.</x:v>
      </x:c>
    </x:row>
    <x:row r="264" ht="44" customHeight="1">
      <x:c r="A264" s="2" t="str">
        <x:v>A0259</x:v>
      </x:c>
      <x:c r="B264" s="2" t="str">
        <x:v>R048</x:v>
      </x:c>
      <x:c r="C264" s="2" t="str">
        <x:v>Count date</x:v>
      </x:c>
      <x:c r="D264" s="16" t="str">
        <x:v>30 Sep 2026</x:v>
      </x:c>
      <x:c r="E264" s="16" t="str">
        <x:v>2026-09-30</x:v>
      </x:c>
      <x:c r="F264" s="14" t="str">
        <x:v>Normalized</x:v>
      </x:c>
      <x:c r="G264" s="14" t="str">
        <x:v>Parse ISO or spelled-month date only. Ambiguous or invalid date withheld.</x:v>
      </x:c>
    </x:row>
    <x:row r="265" ht="44" customHeight="1">
      <x:c r="A265" s="2" t="str">
        <x:v>A0260</x:v>
      </x:c>
      <x:c r="B265" s="2" t="str">
        <x:v>R048</x:v>
      </x:c>
      <x:c r="C265" s="2" t="str">
        <x:v>Disposition</x:v>
      </x:c>
      <x:c r="D265" s="16" t="str">
        <x:v>[unclassified]</x:v>
      </x:c>
      <x:c r="E265" s="16" t="str">
        <x:v>Ready</x:v>
      </x:c>
      <x:c r="F265" s="14" t="str">
        <x:v>Classified</x:v>
      </x:c>
      <x:c r="G265" s="14" t="str">
        <x:v>Required fields valid and no identity or same-bin conflict.</x:v>
      </x:c>
    </x:row>
    <x:row r="266" ht="44" customHeight="1">
      <x:c r="A266" s="2" t="str">
        <x:v>A0261</x:v>
      </x:c>
      <x:c r="B266" s="2" t="str">
        <x:v>R049</x:v>
      </x:c>
      <x:c r="C266" s="2" t="str">
        <x:v>Qty</x:v>
      </x:c>
      <x:c r="D266" s="16" t="str">
        <x:v>12?</x:v>
      </x:c>
      <x:c r="E266" s="16" t="str">
        <x:v>[withheld]</x:v>
      </x:c>
      <x:c r="F266" s="14" t="str">
        <x:v>Withheld</x:v>
      </x:c>
      <x:c r="G266" s="14" t="str">
        <x:v>Parse explicit nonnegative number. Uncertain or negative values withheld.</x:v>
      </x:c>
    </x:row>
    <x:row r="267" ht="44" customHeight="1">
      <x:c r="A267" s="2" t="str">
        <x:v>A0262</x:v>
      </x:c>
      <x:c r="B267" s="2" t="str">
        <x:v>R049</x:v>
      </x:c>
      <x:c r="C267" s="2" t="str">
        <x:v>Unit cost USD</x:v>
      </x:c>
      <x:c r="D267" s="16" t="str">
        <x:v>42</x:v>
      </x:c>
      <x:c r="E267" s="16" t="str">
        <x:v>42</x:v>
      </x:c>
      <x:c r="F267" s="14" t="str">
        <x:v>Typed number</x:v>
      </x:c>
      <x:c r="G267" s="14" t="str">
        <x:v>Parse explicit USD numeric amount. Missing cost stays blank.</x:v>
      </x:c>
    </x:row>
    <x:row r="268" ht="44" customHeight="1">
      <x:c r="A268" s="2" t="str">
        <x:v>A0263</x:v>
      </x:c>
      <x:c r="B268" s="2" t="str">
        <x:v>R049</x:v>
      </x:c>
      <x:c r="C268" s="2" t="str">
        <x:v>Disposition</x:v>
      </x:c>
      <x:c r="D268" s="16" t="str">
        <x:v>[unclassified]</x:v>
      </x:c>
      <x:c r="E268" s="16" t="str">
        <x:v>Held</x:v>
      </x:c>
      <x:c r="F268" s="14" t="str">
        <x:v>Classified</x:v>
      </x:c>
      <x:c r="G268" s="14" t="str">
        <x:v>Uncertain quantity</x:v>
      </x:c>
    </x:row>
    <x:row r="269" ht="44" customHeight="1">
      <x:c r="A269" s="2" t="str">
        <x:v>A0264</x:v>
      </x:c>
      <x:c r="B269" s="2" t="str">
        <x:v>R050</x:v>
      </x:c>
      <x:c r="C269" s="2" t="str">
        <x:v>Qty</x:v>
      </x:c>
      <x:c r="D269" s="16" t="str">
        <x:v>2</x:v>
      </x:c>
      <x:c r="E269" s="16" t="str">
        <x:v>2</x:v>
      </x:c>
      <x:c r="F269" s="14" t="str">
        <x:v>Typed number</x:v>
      </x:c>
      <x:c r="G269" s="14" t="str">
        <x:v>Parse explicit nonnegative number. Uncertain or negative values withheld.</x:v>
      </x:c>
    </x:row>
    <x:row r="270" ht="44" customHeight="1">
      <x:c r="A270" s="2" t="str">
        <x:v>A0265</x:v>
      </x:c>
      <x:c r="B270" s="2" t="str">
        <x:v>R050</x:v>
      </x:c>
      <x:c r="C270" s="2" t="str">
        <x:v>UOM</x:v>
      </x:c>
      <x:c r="D270" s="16" t="str">
        <x:v>BOX</x:v>
      </x:c>
      <x:c r="E270" s="16" t="str">
        <x:v>[withheld]</x:v>
      </x:c>
      <x:c r="F270" s="14" t="str">
        <x:v>Withheld</x:v>
      </x:c>
      <x:c r="G270" s="14" t="str">
        <x:v>Map explicit synonyms. No pack-size conversion.</x:v>
      </x:c>
    </x:row>
    <x:row r="271" ht="44" customHeight="1">
      <x:c r="A271" s="2" t="str">
        <x:v>A0266</x:v>
      </x:c>
      <x:c r="B271" s="2" t="str">
        <x:v>R050</x:v>
      </x:c>
      <x:c r="C271" s="2" t="str">
        <x:v>Unit cost USD</x:v>
      </x:c>
      <x:c r="D271" s="16" t="str">
        <x:v>0.85</x:v>
      </x:c>
      <x:c r="E271" s="16" t="str">
        <x:v>0.85</x:v>
      </x:c>
      <x:c r="F271" s="14" t="str">
        <x:v>Typed number</x:v>
      </x:c>
      <x:c r="G271" s="14" t="str">
        <x:v>Parse explicit USD numeric amount. Missing cost stays blank.</x:v>
      </x:c>
    </x:row>
    <x:row r="272" ht="44" customHeight="1">
      <x:c r="A272" s="2" t="str">
        <x:v>A0267</x:v>
      </x:c>
      <x:c r="B272" s="2" t="str">
        <x:v>R050</x:v>
      </x:c>
      <x:c r="C272" s="2" t="str">
        <x:v>Disposition</x:v>
      </x:c>
      <x:c r="D272" s="16" t="str">
        <x:v>[unclassified]</x:v>
      </x:c>
      <x:c r="E272" s="16" t="str">
        <x:v>Held</x:v>
      </x:c>
      <x:c r="F272" s="14" t="str">
        <x:v>Classified</x:v>
      </x:c>
      <x:c r="G272" s="14" t="str">
        <x:v>Unknown pack size</x:v>
      </x:c>
    </x:row>
    <x:row r="273" ht="44" customHeight="1">
      <x:c r="A273" s="2" t="str">
        <x:v>A0268</x:v>
      </x:c>
      <x:c r="B273" s="2" t="str">
        <x:v>R051</x:v>
      </x:c>
      <x:c r="C273" s="2" t="str">
        <x:v>Qty</x:v>
      </x:c>
      <x:c r="D273" s="16" t="str">
        <x:v>7</x:v>
      </x:c>
      <x:c r="E273" s="16" t="str">
        <x:v>7</x:v>
      </x:c>
      <x:c r="F273" s="14" t="str">
        <x:v>Typed number</x:v>
      </x:c>
      <x:c r="G273" s="14" t="str">
        <x:v>Parse explicit nonnegative number. Uncertain or negative values withheld.</x:v>
      </x:c>
    </x:row>
    <x:row r="274" ht="44" customHeight="1">
      <x:c r="A274" s="2" t="str">
        <x:v>A0269</x:v>
      </x:c>
      <x:c r="B274" s="2" t="str">
        <x:v>R051</x:v>
      </x:c>
      <x:c r="C274" s="2" t="str">
        <x:v>Unit cost USD</x:v>
      </x:c>
      <x:c r="D274" s="16" t="str">
        <x:v>8.6</x:v>
      </x:c>
      <x:c r="E274" s="16" t="str">
        <x:v>8.6</x:v>
      </x:c>
      <x:c r="F274" s="14" t="str">
        <x:v>Typed number</x:v>
      </x:c>
      <x:c r="G274" s="14" t="str">
        <x:v>Parse explicit USD numeric amount. Missing cost stays blank.</x:v>
      </x:c>
    </x:row>
    <x:row r="275" ht="44" customHeight="1">
      <x:c r="A275" s="2" t="str">
        <x:v>A0270</x:v>
      </x:c>
      <x:c r="B275" s="2" t="str">
        <x:v>R051</x:v>
      </x:c>
      <x:c r="C275" s="2" t="str">
        <x:v>Count date</x:v>
      </x:c>
      <x:c r="D275" s="16" t="str">
        <x:v>09/10/2026</x:v>
      </x:c>
      <x:c r="E275" s="16" t="str">
        <x:v>[withheld]</x:v>
      </x:c>
      <x:c r="F275" s="14" t="str">
        <x:v>Withheld</x:v>
      </x:c>
      <x:c r="G275" s="14" t="str">
        <x:v>Parse ISO or spelled-month date only. Ambiguous or invalid date withheld.</x:v>
      </x:c>
    </x:row>
    <x:row r="276" ht="44" customHeight="1">
      <x:c r="A276" s="2" t="str">
        <x:v>A0271</x:v>
      </x:c>
      <x:c r="B276" s="2" t="str">
        <x:v>R051</x:v>
      </x:c>
      <x:c r="C276" s="2" t="str">
        <x:v>Disposition</x:v>
      </x:c>
      <x:c r="D276" s="16" t="str">
        <x:v>[unclassified]</x:v>
      </x:c>
      <x:c r="E276" s="16" t="str">
        <x:v>Held</x:v>
      </x:c>
      <x:c r="F276" s="14" t="str">
        <x:v>Classified</x:v>
      </x:c>
      <x:c r="G276" s="14" t="str">
        <x:v>Ambiguous date order</x:v>
      </x:c>
    </x:row>
    <x:row r="277" ht="44" customHeight="1">
      <x:c r="A277" s="2" t="str">
        <x:v>A0272</x:v>
      </x:c>
      <x:c r="B277" s="2" t="str">
        <x:v>R052</x:v>
      </x:c>
      <x:c r="C277" s="2" t="str">
        <x:v>Qty</x:v>
      </x:c>
      <x:c r="D277" s="16" t="str">
        <x:v>-8</x:v>
      </x:c>
      <x:c r="E277" s="16" t="str">
        <x:v>[withheld]</x:v>
      </x:c>
      <x:c r="F277" s="14" t="str">
        <x:v>Withheld</x:v>
      </x:c>
      <x:c r="G277" s="14" t="str">
        <x:v>Parse explicit nonnegative number. Uncertain or negative values withheld.</x:v>
      </x:c>
    </x:row>
    <x:row r="278" ht="44" customHeight="1">
      <x:c r="A278" s="2" t="str">
        <x:v>A0273</x:v>
      </x:c>
      <x:c r="B278" s="2" t="str">
        <x:v>R052</x:v>
      </x:c>
      <x:c r="C278" s="2" t="str">
        <x:v>Unit cost USD</x:v>
      </x:c>
      <x:c r="D278" s="16" t="str">
        <x:v>5.6</x:v>
      </x:c>
      <x:c r="E278" s="16" t="str">
        <x:v>5.6</x:v>
      </x:c>
      <x:c r="F278" s="14" t="str">
        <x:v>Typed number</x:v>
      </x:c>
      <x:c r="G278" s="14" t="str">
        <x:v>Parse explicit USD numeric amount. Missing cost stays blank.</x:v>
      </x:c>
    </x:row>
    <x:row r="279" ht="44" customHeight="1">
      <x:c r="A279" s="2" t="str">
        <x:v>A0274</x:v>
      </x:c>
      <x:c r="B279" s="2" t="str">
        <x:v>R052</x:v>
      </x:c>
      <x:c r="C279" s="2" t="str">
        <x:v>Disposition</x:v>
      </x:c>
      <x:c r="D279" s="16" t="str">
        <x:v>[unclassified]</x:v>
      </x:c>
      <x:c r="E279" s="16" t="str">
        <x:v>Held</x:v>
      </x:c>
      <x:c r="F279" s="14" t="str">
        <x:v>Classified</x:v>
      </x:c>
      <x:c r="G279" s="14" t="str">
        <x:v>Negative physical count</x:v>
      </x:c>
    </x:row>
    <x:row r="280" ht="44" customHeight="1">
      <x:c r="A280" s="2" t="str">
        <x:v>A0275</x:v>
      </x:c>
      <x:c r="B280" s="2" t="str">
        <x:v>R053</x:v>
      </x:c>
      <x:c r="C280" s="2" t="str">
        <x:v>Qty</x:v>
      </x:c>
      <x:c r="D280" s="16" t="str">
        <x:v>4</x:v>
      </x:c>
      <x:c r="E280" s="16" t="str">
        <x:v>4</x:v>
      </x:c>
      <x:c r="F280" s="14" t="str">
        <x:v>Typed number</x:v>
      </x:c>
      <x:c r="G280" s="14" t="str">
        <x:v>Parse explicit nonnegative number. Uncertain or negative values withheld.</x:v>
      </x:c>
    </x:row>
    <x:row r="281" ht="44" customHeight="1">
      <x:c r="A281" s="2" t="str">
        <x:v>A0276</x:v>
      </x:c>
      <x:c r="B281" s="2" t="str">
        <x:v>R053</x:v>
      </x:c>
      <x:c r="C281" s="2" t="str">
        <x:v>Unit cost USD</x:v>
      </x:c>
      <x:c r="D281" s="16" t="str"/>
      <x:c r="E281" s="16" t="str">
        <x:v>[withheld]</x:v>
      </x:c>
      <x:c r="F281" s="14" t="str">
        <x:v>Withheld</x:v>
      </x:c>
      <x:c r="G281" s="14" t="str">
        <x:v>Parse explicit USD numeric amount. Missing cost stays blank.</x:v>
      </x:c>
    </x:row>
    <x:row r="282" ht="44" customHeight="1">
      <x:c r="A282" s="2" t="str">
        <x:v>A0277</x:v>
      </x:c>
      <x:c r="B282" s="2" t="str">
        <x:v>R053</x:v>
      </x:c>
      <x:c r="C282" s="2" t="str">
        <x:v>Disposition</x:v>
      </x:c>
      <x:c r="D282" s="16" t="str">
        <x:v>[unclassified]</x:v>
      </x:c>
      <x:c r="E282" s="16" t="str">
        <x:v>Held</x:v>
      </x:c>
      <x:c r="F282" s="14" t="str">
        <x:v>Classified</x:v>
      </x:c>
      <x:c r="G282" s="14" t="str">
        <x:v>Missing valuation input</x:v>
      </x:c>
    </x:row>
    <x:row r="283" ht="44" customHeight="1">
      <x:c r="A283" s="2" t="str">
        <x:v>A0278</x:v>
      </x:c>
      <x:c r="B283" s="2" t="str">
        <x:v>R054</x:v>
      </x:c>
      <x:c r="C283" s="2" t="str">
        <x:v>SKU</x:v>
      </x:c>
      <x:c r="D283" s="16" t="str"/>
      <x:c r="E283" s="16" t="str">
        <x:v>[withheld]</x:v>
      </x:c>
      <x:c r="F283" s="14" t="str">
        <x:v>Withheld</x:v>
      </x:c>
      <x:c r="G283" s="14" t="str">
        <x:v>Trim whitespace and uppercase only. Punctuation and leading zeros retained.</x:v>
      </x:c>
    </x:row>
    <x:row r="284" ht="44" customHeight="1">
      <x:c r="A284" s="2" t="str">
        <x:v>A0279</x:v>
      </x:c>
      <x:c r="B284" s="2" t="str">
        <x:v>R054</x:v>
      </x:c>
      <x:c r="C284" s="2" t="str">
        <x:v>Qty</x:v>
      </x:c>
      <x:c r="D284" s="16" t="str">
        <x:v>6</x:v>
      </x:c>
      <x:c r="E284" s="16" t="str">
        <x:v>6</x:v>
      </x:c>
      <x:c r="F284" s="14" t="str">
        <x:v>Typed number</x:v>
      </x:c>
      <x:c r="G284" s="14" t="str">
        <x:v>Parse explicit nonnegative number. Uncertain or negative values withheld.</x:v>
      </x:c>
    </x:row>
    <x:row r="285" ht="44" customHeight="1">
      <x:c r="A285" s="2" t="str">
        <x:v>A0280</x:v>
      </x:c>
      <x:c r="B285" s="2" t="str">
        <x:v>R054</x:v>
      </x:c>
      <x:c r="C285" s="2" t="str">
        <x:v>Unit cost USD</x:v>
      </x:c>
      <x:c r="D285" s="16" t="str">
        <x:v>18.5</x:v>
      </x:c>
      <x:c r="E285" s="16" t="str">
        <x:v>18.5</x:v>
      </x:c>
      <x:c r="F285" s="14" t="str">
        <x:v>Typed number</x:v>
      </x:c>
      <x:c r="G285" s="14" t="str">
        <x:v>Parse explicit USD numeric amount. Missing cost stays blank.</x:v>
      </x:c>
    </x:row>
    <x:row r="286" ht="44" customHeight="1">
      <x:c r="A286" s="2" t="str">
        <x:v>A0281</x:v>
      </x:c>
      <x:c r="B286" s="2" t="str">
        <x:v>R054</x:v>
      </x:c>
      <x:c r="C286" s="2" t="str">
        <x:v>Disposition</x:v>
      </x:c>
      <x:c r="D286" s="16" t="str">
        <x:v>[unclassified]</x:v>
      </x:c>
      <x:c r="E286" s="16" t="str">
        <x:v>Held</x:v>
      </x:c>
      <x:c r="F286" s="14" t="str">
        <x:v>Classified</x:v>
      </x:c>
      <x:c r="G286" s="14" t="str">
        <x:v>Missing part identity</x:v>
      </x:c>
    </x:row>
    <x:row r="287" ht="44" customHeight="1">
      <x:c r="A287" s="2" t="str">
        <x:v>A0282</x:v>
      </x:c>
      <x:c r="B287" s="2" t="str">
        <x:v>R055</x:v>
      </x:c>
      <x:c r="C287" s="2" t="str">
        <x:v>Description</x:v>
      </x:c>
      <x:c r="D287" s="16" t="str">
        <x:v>Bearing 6205, rubber seals</x:v>
      </x:c>
      <x:c r="E287" s="16" t="str">
        <x:v>[withheld]</x:v>
      </x:c>
      <x:c r="F287" s="14" t="str">
        <x:v>Withheld</x:v>
      </x:c>
      <x:c r="G287" s="14" t="str">
        <x:v>Collapse whitespace only. Conflicting descriptions withheld.</x:v>
      </x:c>
    </x:row>
    <x:row r="288" ht="44" customHeight="1">
      <x:c r="A288" s="2" t="str">
        <x:v>A0283</x:v>
      </x:c>
      <x:c r="B288" s="2" t="str">
        <x:v>R055</x:v>
      </x:c>
      <x:c r="C288" s="2" t="str">
        <x:v>Qty</x:v>
      </x:c>
      <x:c r="D288" s="16" t="str">
        <x:v>5</x:v>
      </x:c>
      <x:c r="E288" s="16" t="str">
        <x:v>5</x:v>
      </x:c>
      <x:c r="F288" s="14" t="str">
        <x:v>Typed number</x:v>
      </x:c>
      <x:c r="G288" s="14" t="str">
        <x:v>Parse explicit nonnegative number. Uncertain or negative values withheld.</x:v>
      </x:c>
    </x:row>
    <x:row r="289" ht="44" customHeight="1">
      <x:c r="A289" s="2" t="str">
        <x:v>A0284</x:v>
      </x:c>
      <x:c r="B289" s="2" t="str">
        <x:v>R055</x:v>
      </x:c>
      <x:c r="C289" s="2" t="str">
        <x:v>Unit cost USD</x:v>
      </x:c>
      <x:c r="D289" s="16" t="str">
        <x:v>16.75</x:v>
      </x:c>
      <x:c r="E289" s="16" t="str">
        <x:v>16.75</x:v>
      </x:c>
      <x:c r="F289" s="14" t="str">
        <x:v>Typed number</x:v>
      </x:c>
      <x:c r="G289" s="14" t="str">
        <x:v>Parse explicit USD numeric amount. Missing cost stays blank.</x:v>
      </x:c>
    </x:row>
    <x:row r="290" ht="44" customHeight="1">
      <x:c r="A290" s="2" t="str">
        <x:v>A0285</x:v>
      </x:c>
      <x:c r="B290" s="2" t="str">
        <x:v>R055</x:v>
      </x:c>
      <x:c r="C290" s="2" t="str">
        <x:v>Disposition</x:v>
      </x:c>
      <x:c r="D290" s="16" t="str">
        <x:v>[unclassified]</x:v>
      </x:c>
      <x:c r="E290" s="16" t="str">
        <x:v>Held</x:v>
      </x:c>
      <x:c r="F290" s="14" t="str">
        <x:v>Classified</x:v>
      </x:c>
      <x:c r="G290" s="14" t="str">
        <x:v>SKU and description conflict</x:v>
      </x:c>
    </x:row>
    <x:row r="291" ht="44" customHeight="1">
      <x:c r="A291" s="2" t="str">
        <x:v>A0286</x:v>
      </x:c>
      <x:c r="B291" s="2" t="str">
        <x:v>R056</x:v>
      </x:c>
      <x:c r="C291" s="2" t="str">
        <x:v>Qty</x:v>
      </x:c>
      <x:c r="D291" s="16" t="str">
        <x:v>20</x:v>
      </x:c>
      <x:c r="E291" s="16" t="str">
        <x:v>20</x:v>
      </x:c>
      <x:c r="F291" s="14" t="str">
        <x:v>Typed number</x:v>
      </x:c>
      <x:c r="G291" s="14" t="str">
        <x:v>Parse explicit nonnegative number. Uncertain or negative values withheld.</x:v>
      </x:c>
    </x:row>
    <x:row r="292" ht="44" customHeight="1">
      <x:c r="A292" s="2" t="str">
        <x:v>A0287</x:v>
      </x:c>
      <x:c r="B292" s="2" t="str">
        <x:v>R056</x:v>
      </x:c>
      <x:c r="C292" s="2" t="str">
        <x:v>Unit cost USD</x:v>
      </x:c>
      <x:c r="D292" s="16" t="str">
        <x:v>15.8</x:v>
      </x:c>
      <x:c r="E292" s="16" t="str">
        <x:v>15.8</x:v>
      </x:c>
      <x:c r="F292" s="14" t="str">
        <x:v>Typed number</x:v>
      </x:c>
      <x:c r="G292" s="14" t="str">
        <x:v>Parse explicit USD numeric amount. Missing cost stays blank.</x:v>
      </x:c>
    </x:row>
    <x:row r="293" ht="44" customHeight="1">
      <x:c r="A293" s="2" t="str">
        <x:v>A0288</x:v>
      </x:c>
      <x:c r="B293" s="2" t="str">
        <x:v>R056</x:v>
      </x:c>
      <x:c r="C293" s="2" t="str">
        <x:v>Count date</x:v>
      </x:c>
      <x:c r="D293" s="16" t="str">
        <x:v>2026-02-30</x:v>
      </x:c>
      <x:c r="E293" s="16" t="str">
        <x:v>[withheld]</x:v>
      </x:c>
      <x:c r="F293" s="14" t="str">
        <x:v>Withheld</x:v>
      </x:c>
      <x:c r="G293" s="14" t="str">
        <x:v>Parse ISO or spelled-month date only. Ambiguous or invalid date withheld.</x:v>
      </x:c>
    </x:row>
    <x:row r="294" ht="44" customHeight="1">
      <x:c r="A294" s="2" t="str">
        <x:v>A0289</x:v>
      </x:c>
      <x:c r="B294" s="2" t="str">
        <x:v>R056</x:v>
      </x:c>
      <x:c r="C294" s="2" t="str">
        <x:v>Disposition</x:v>
      </x:c>
      <x:c r="D294" s="16" t="str">
        <x:v>[unclassified]</x:v>
      </x:c>
      <x:c r="E294" s="16" t="str">
        <x:v>Held</x:v>
      </x:c>
      <x:c r="F294" s="14" t="str">
        <x:v>Classified</x:v>
      </x:c>
      <x:c r="G294" s="14" t="str">
        <x:v>Impossible calendar date</x:v>
      </x:c>
    </x:row>
    <x:row r="295" ht="44" customHeight="1">
      <x:c r="A295" s="2" t="str">
        <x:v>A0290</x:v>
      </x:c>
      <x:c r="B295" s="2" t="str">
        <x:v>R057</x:v>
      </x:c>
      <x:c r="C295" s="2" t="str">
        <x:v>Qty</x:v>
      </x:c>
      <x:c r="D295" s="16" t="str">
        <x:v>7</x:v>
      </x:c>
      <x:c r="E295" s="16" t="str">
        <x:v>7</x:v>
      </x:c>
      <x:c r="F295" s="14" t="str">
        <x:v>Typed number</x:v>
      </x:c>
      <x:c r="G295" s="14" t="str">
        <x:v>Parse explicit nonnegative number. Uncertain or negative values withheld.</x:v>
      </x:c>
    </x:row>
    <x:row r="296" ht="44" customHeight="1">
      <x:c r="A296" s="2" t="str">
        <x:v>A0291</x:v>
      </x:c>
      <x:c r="B296" s="2" t="str">
        <x:v>R057</x:v>
      </x:c>
      <x:c r="C296" s="2" t="str">
        <x:v>Unit cost USD</x:v>
      </x:c>
      <x:c r="D296" s="16" t="str">
        <x:v>23.4</x:v>
      </x:c>
      <x:c r="E296" s="16" t="str">
        <x:v>23.4</x:v>
      </x:c>
      <x:c r="F296" s="14" t="str">
        <x:v>Typed number</x:v>
      </x:c>
      <x:c r="G296" s="14" t="str">
        <x:v>Parse explicit USD numeric amount. Missing cost stays blank.</x:v>
      </x:c>
    </x:row>
    <x:row r="297" ht="44" customHeight="1">
      <x:c r="A297" s="2" t="str">
        <x:v>A0292</x:v>
      </x:c>
      <x:c r="B297" s="2" t="str">
        <x:v>R057</x:v>
      </x:c>
      <x:c r="C297" s="2" t="str">
        <x:v>Disposition</x:v>
      </x:c>
      <x:c r="D297" s="16" t="str">
        <x:v>[unclassified]</x:v>
      </x:c>
      <x:c r="E297" s="16" t="str">
        <x:v>Held</x:v>
      </x:c>
      <x:c r="F297" s="14" t="str">
        <x:v>Classified</x:v>
      </x:c>
      <x:c r="G297" s="14" t="str">
        <x:v>Conflicting same-bin counts</x:v>
      </x:c>
    </x:row>
    <x:row r="298" ht="44" customHeight="1">
      <x:c r="A298" s="2" t="str">
        <x:v>A0293</x:v>
      </x:c>
      <x:c r="B298" s="2" t="str">
        <x:v>R058</x:v>
      </x:c>
      <x:c r="C298" s="2" t="str">
        <x:v>Qty</x:v>
      </x:c>
      <x:c r="D298" s="16" t="str">
        <x:v>11</x:v>
      </x:c>
      <x:c r="E298" s="16" t="str">
        <x:v>11</x:v>
      </x:c>
      <x:c r="F298" s="14" t="str">
        <x:v>Typed number</x:v>
      </x:c>
      <x:c r="G298" s="14" t="str">
        <x:v>Parse explicit nonnegative number. Uncertain or negative values withheld.</x:v>
      </x:c>
    </x:row>
    <x:row r="299" ht="44" customHeight="1">
      <x:c r="A299" s="2" t="str">
        <x:v>A0294</x:v>
      </x:c>
      <x:c r="B299" s="2" t="str">
        <x:v>R058</x:v>
      </x:c>
      <x:c r="C299" s="2" t="str">
        <x:v>Unit cost USD</x:v>
      </x:c>
      <x:c r="D299" s="16" t="str">
        <x:v>23.4</x:v>
      </x:c>
      <x:c r="E299" s="16" t="str">
        <x:v>23.4</x:v>
      </x:c>
      <x:c r="F299" s="14" t="str">
        <x:v>Typed number</x:v>
      </x:c>
      <x:c r="G299" s="14" t="str">
        <x:v>Parse explicit USD numeric amount. Missing cost stays blank.</x:v>
      </x:c>
    </x:row>
    <x:row r="300" ht="44" customHeight="1">
      <x:c r="A300" s="2" t="str">
        <x:v>A0295</x:v>
      </x:c>
      <x:c r="B300" s="2" t="str">
        <x:v>R058</x:v>
      </x:c>
      <x:c r="C300" s="2" t="str">
        <x:v>Disposition</x:v>
      </x:c>
      <x:c r="D300" s="16" t="str">
        <x:v>[unclassified]</x:v>
      </x:c>
      <x:c r="E300" s="16" t="str">
        <x:v>Held</x:v>
      </x:c>
      <x:c r="F300" s="14" t="str">
        <x:v>Classified</x:v>
      </x:c>
      <x:c r="G300" s="14" t="str">
        <x:v>Conflicting same-bin counts</x:v>
      </x:c>
    </x:row>
    <x:row r="301" ht="44" customHeight="1">
      <x:c r="A301" s="2" t="str">
        <x:v>A0296</x:v>
      </x:c>
      <x:c r="B301" s="2" t="str">
        <x:v>R059</x:v>
      </x:c>
      <x:c r="C301" s="2" t="str">
        <x:v>Description</x:v>
      </x:c>
      <x:c r="D301" s="16" t="str">
        <x:v> V-belt  B42 </x:v>
      </x:c>
      <x:c r="E301" s="16" t="str">
        <x:v>V-belt B42</x:v>
      </x:c>
      <x:c r="F301" s="14" t="str">
        <x:v>Normalized</x:v>
      </x:c>
      <x:c r="G301" s="14" t="str">
        <x:v>Collapse whitespace only. Conflicting descriptions withheld.</x:v>
      </x:c>
    </x:row>
    <x:row r="302" ht="44" customHeight="1">
      <x:c r="A302" s="2" t="str">
        <x:v>A0297</x:v>
      </x:c>
      <x:c r="B302" s="2" t="str">
        <x:v>R059</x:v>
      </x:c>
      <x:c r="C302" s="2" t="str">
        <x:v>Bin</x:v>
      </x:c>
      <x:c r="D302" s="16" t="str">
        <x:v> a-05 </x:v>
      </x:c>
      <x:c r="E302" s="16" t="str">
        <x:v>A-05</x:v>
      </x:c>
      <x:c r="F302" s="14" t="str">
        <x:v>Normalized</x:v>
      </x:c>
      <x:c r="G302" s="14" t="str">
        <x:v>Trim whitespace and uppercase.</x:v>
      </x:c>
    </x:row>
    <x:row r="303" ht="44" customHeight="1">
      <x:c r="A303" s="2" t="str">
        <x:v>A0298</x:v>
      </x:c>
      <x:c r="B303" s="2" t="str">
        <x:v>R059</x:v>
      </x:c>
      <x:c r="C303" s="2" t="str">
        <x:v>Qty</x:v>
      </x:c>
      <x:c r="D303" s="16" t="str">
        <x:v>29</x:v>
      </x:c>
      <x:c r="E303" s="16" t="str">
        <x:v>29</x:v>
      </x:c>
      <x:c r="F303" s="14" t="str">
        <x:v>Typed number</x:v>
      </x:c>
      <x:c r="G303" s="14" t="str">
        <x:v>Parse explicit nonnegative number. Uncertain or negative values withheld.</x:v>
      </x:c>
    </x:row>
    <x:row r="304" ht="44" customHeight="1">
      <x:c r="A304" s="2" t="str">
        <x:v>A0299</x:v>
      </x:c>
      <x:c r="B304" s="2" t="str">
        <x:v>R059</x:v>
      </x:c>
      <x:c r="C304" s="2" t="str">
        <x:v>Unit cost USD</x:v>
      </x:c>
      <x:c r="D304" s="16" t="str">
        <x:v>$23.40</x:v>
      </x:c>
      <x:c r="E304" s="16" t="str">
        <x:v>23.4</x:v>
      </x:c>
      <x:c r="F304" s="14" t="str">
        <x:v>Typed number</x:v>
      </x:c>
      <x:c r="G304" s="14" t="str">
        <x:v>Parse explicit USD numeric amount. Missing cost stays blank.</x:v>
      </x:c>
    </x:row>
    <x:row r="305" ht="44" customHeight="1">
      <x:c r="A305" s="2" t="str">
        <x:v>A0300</x:v>
      </x:c>
      <x:c r="B305" s="2" t="str">
        <x:v>R059</x:v>
      </x:c>
      <x:c r="C305" s="2" t="str">
        <x:v>Disposition</x:v>
      </x:c>
      <x:c r="D305" s="16" t="str">
        <x:v>[unclassified]</x:v>
      </x:c>
      <x:c r="E305" s="16" t="str">
        <x:v>Duplicate</x:v>
      </x:c>
      <x:c r="F305" s="14" t="str">
        <x:v>Classified</x:v>
      </x:c>
      <x:c r="G305" s="14" t="str">
        <x:v>Exact repeat of source count R005 with identical source payload.</x:v>
      </x:c>
    </x:row>
    <x:row r="306" ht="44" customHeight="1">
      <x:c r="A306" s="2" t="str">
        <x:v>A0301</x:v>
      </x:c>
      <x:c r="B306" s="2" t="str">
        <x:v>R060</x:v>
      </x:c>
      <x:c r="C306" s="2" t="str">
        <x:v>Bin</x:v>
      </x:c>
      <x:c r="D306" s="16" t="str">
        <x:v> b-04 </x:v>
      </x:c>
      <x:c r="E306" s="16" t="str">
        <x:v>B-04</x:v>
      </x:c>
      <x:c r="F306" s="14" t="str">
        <x:v>Normalized</x:v>
      </x:c>
      <x:c r="G306" s="14" t="str">
        <x:v>Trim whitespace and uppercase.</x:v>
      </x:c>
    </x:row>
    <x:row r="307" ht="44" customHeight="1">
      <x:c r="A307" s="2" t="str">
        <x:v>A0302</x:v>
      </x:c>
      <x:c r="B307" s="2" t="str">
        <x:v>R060</x:v>
      </x:c>
      <x:c r="C307" s="2" t="str">
        <x:v>Qty</x:v>
      </x:c>
      <x:c r="D307" s="16" t="str">
        <x:v>44</x:v>
      </x:c>
      <x:c r="E307" s="16" t="str">
        <x:v>44</x:v>
      </x:c>
      <x:c r="F307" s="14" t="str">
        <x:v>Typed number</x:v>
      </x:c>
      <x:c r="G307" s="14" t="str">
        <x:v>Parse explicit nonnegative number. Uncertain or negative values withheld.</x:v>
      </x:c>
    </x:row>
    <x:row r="308" ht="44" customHeight="1">
      <x:c r="A308" s="2" t="str">
        <x:v>A0303</x:v>
      </x:c>
      <x:c r="B308" s="2" t="str">
        <x:v>R060</x:v>
      </x:c>
      <x:c r="C308" s="2" t="str">
        <x:v>Unit cost USD</x:v>
      </x:c>
      <x:c r="D308" s="16" t="str">
        <x:v>46.8</x:v>
      </x:c>
      <x:c r="E308" s="16" t="str">
        <x:v>46.8</x:v>
      </x:c>
      <x:c r="F308" s="14" t="str">
        <x:v>Typed number</x:v>
      </x:c>
      <x:c r="G308" s="14" t="str">
        <x:v>Parse explicit USD numeric amount. Missing cost stays blank.</x:v>
      </x:c>
    </x:row>
    <x:row r="309" ht="44" customHeight="1">
      <x:c r="A309" s="2" t="str">
        <x:v>A0304</x:v>
      </x:c>
      <x:c r="B309" s="2" t="str">
        <x:v>R060</x:v>
      </x:c>
      <x:c r="C309" s="2" t="str">
        <x:v>Count date</x:v>
      </x:c>
      <x:c r="D309" s="16" t="str">
        <x:v>30 Sep 2026</x:v>
      </x:c>
      <x:c r="E309" s="16" t="str">
        <x:v>2026-09-30</x:v>
      </x:c>
      <x:c r="F309" s="14" t="str">
        <x:v>Normalized</x:v>
      </x:c>
      <x:c r="G309" s="14" t="str">
        <x:v>Parse ISO or spelled-month date only. Ambiguous or invalid date withheld.</x:v>
      </x:c>
    </x:row>
    <x:row r="310" ht="44" customHeight="1">
      <x:c r="A310" s="2" t="str">
        <x:v>A0305</x:v>
      </x:c>
      <x:c r="B310" s="2" t="str">
        <x:v>R060</x:v>
      </x:c>
      <x:c r="C310" s="2" t="str">
        <x:v>Disposition</x:v>
      </x:c>
      <x:c r="D310" s="16" t="str">
        <x:v>[unclassified]</x:v>
      </x:c>
      <x:c r="E310" s="16" t="str">
        <x:v>Duplicate</x:v>
      </x:c>
      <x:c r="F310" s="14" t="str">
        <x:v>Classified</x:v>
      </x:c>
      <x:c r="G310" s="14" t="str">
        <x:v>Exact repeat of source count R020 with identical source payload.</x:v>
      </x:c>
    </x:row>
  </x:sheetData>
  <x:pageMargins left="0.7" right="0.7" top="0.75" bottom="0.75" header="0.3" footer="0.3"/>
  <x:tableParts count="1">
    <x:tablePart xmlns:r="http://schemas.openxmlformats.org/officeDocument/2006/relationships" r:id="R315a145bf106454b"/>
  </x:tableParts>
</x:worksheet>
</file>

<file path=xl/worksheets/sheet7.xml><?xml version="1.0" encoding="utf-8"?>
<x:worksheet xmlns:x="http://schemas.openxmlformats.org/spreadsheetml/2006/main">
  <x:sheetPr>
    <x:tabColor rgb="FF93A0AD"/>
  </x:sheetPr>
  <x:sheetViews>
    <x:sheetView showGridLines="0" workbookViewId="0">
      <x:pane xSplit="2" ySplit="5" topLeftCell="C6" activePane="bottomRight" state="frozen"/>
    </x:sheetView>
  </x:sheetViews>
  <x:sheetFormatPr defaultRowHeight="15"/>
  <x:cols>
    <x:col min="1" max="1" width="27" hidden="0" customWidth="1"/>
    <x:col min="2" max="2" width="116" hidden="0" customWidth="1"/>
  </x:cols>
  <x:sheetData>
    <x:row r="1" ht="24" customHeight="1">
      <x:c r="A1" s="2"/>
      <x:c r="B1" s="2"/>
    </x:row>
    <x:row r="2" ht="24" customHeight="1">
      <x:c r="A2" s="7" t="str">
        <x:v>How the rescue works</x:v>
      </x:c>
      <x:c r="B2" s="2"/>
    </x:row>
    <x:row r="3" ht="24" customHeight="1">
      <x:c r="A3" s="8" t="str">
        <x:v>Fink Dataworks · Spreadsheet Rescue · Version 1.0 · 2026-10-14</x:v>
      </x:c>
      <x:c r="B3" s="2"/>
    </x:row>
    <x:row r="4" ht="24" customHeight="1">
      <x:c r="A4" s="2"/>
      <x:c r="B4" s="2"/>
    </x:row>
    <x:row r="5" ht="34" customHeight="1">
      <x:c r="A5" s="6" t="str">
        <x:v>Topic</x:v>
      </x:c>
      <x:c r="B5" s="6" t="str">
        <x:v>Method and assumptions</x:v>
      </x:c>
    </x:row>
    <x:row r="6" ht="72" customHeight="1">
      <x:c r="A6" s="2" t="str">
        <x:v>Purpose</x:v>
      </x:c>
      <x:c r="B6" s="14" t="str">
        <x:v>A one-time portfolio demonstration for Fink Dataworks. Every record, part reference, quantity, cost, location and count reference is synthetic. No employer, customer or mining-operation data was used.</x:v>
      </x:c>
    </x:row>
    <x:row r="7" ht="72" customHeight="1">
      <x:c r="A7" s="2" t="str">
        <x:v>Start here</x:v>
      </x:c>
      <x:c r="B7" s="14" t="str">
        <x:v>Read Dashboard, compare Raw data with Cleaned by Record ID, then inspect Review queue and Audit log. Excel filter buttons and frozen headers support browsing.</x:v>
      </x:c>
    </x:row>
    <x:row r="8" ht="72" customHeight="1">
      <x:c r="A8" s="2" t="str">
        <x:v>Snapshot and grain</x:v>
      </x:c>
      <x:c r="B8" s="14" t="str">
        <x:v>Assumed snapshot: 2026-09-30. A raw row is an imported physical-count record. Accepted stock grain is SKU + bin for this one snapshot. Same SKU in different bins remains separate. No stock quantities are summed across different units.</x:v>
      </x:c>
    </x:row>
    <x:row r="9" ht="72" customHeight="1">
      <x:c r="A9" s="2" t="str">
        <x:v>Dispositions</x:v>
      </x:c>
      <x:c r="B9" s="14" t="str">
        <x:v>Ready: 48 complete, nonconflicting source records. Held: 10 records requiring evidence. Duplicate: 2 exact repeated source counts. All 60 remain visible in Cleaned. Ready means valid under demonstration rules, not externally verified physical stock.</x:v>
      </x:c>
    </x:row>
    <x:row r="10" ht="72" customHeight="1">
      <x:c r="A10" s="2" t="str">
        <x:v>Identity rules</x:v>
      </x:c>
      <x:c r="B10" s="14" t="str">
        <x:v>Only trim and uppercase SKU text. Never remove hyphens, leading zeros, or suffixes. 00127 and 127 are different parts. BRG-6205-2RS and BRG-6205-ZZ are different bearing variants. Description conflict blocks release.</x:v>
      </x:c>
    </x:row>
    <x:row r="11" ht="72" customHeight="1">
      <x:c r="A11" s="2" t="str">
        <x:v>Duplicate rule</x:v>
      </x:c>
      <x:c r="B11" s="14" t="str">
        <x:v>R059 repeats R005 and R060 repeats R020. Count reference and all original payload fields match exactly. Retain the lower Record ID and exclude the repeat. R057/R058 have conflicting counts for the same SKU and bin. Both are held, neither summed nor selected.</x:v>
      </x:c>
    </x:row>
    <x:row r="12" ht="72" customHeight="1">
      <x:c r="A12" s="2" t="str">
        <x:v>Safe transformations</x:v>
      </x:c>
      <x:c r="B12" s="14" t="str">
        <x:v>Trim whitespace, collapse description whitespace, uppercase identifiers, map each to EA, metres to M, kg to KG and litres to L. Parse explicit numeric quantities and USD amounts. No box-to-each conversion and no fuzzy SKU matching.</x:v>
      </x:c>
    </x:row>
    <x:row r="13" ht="72" customHeight="1">
      <x:c r="A13" s="2" t="str">
        <x:v>Date policy</x:v>
      </x:c>
      <x:c r="B13" s="14" t="str">
        <x:v>Accept ISO YYYY-MM-DD and spelled-month dates only after calendar validation. 09/10/2026 is ambiguous. 2026-02-30 is invalid. Both remain blank in Cleaned and held for evidence. Dates in Cleaned are numeric Excel dates.</x:v>
      </x:c>
    </x:row>
    <x:row r="14" ht="72" customHeight="1">
      <x:c r="A14" s="2" t="str">
        <x:v>Missing and invalid</x:v>
      </x:c>
      <x:c r="B14" s="14" t="str">
        <x:v>A real zero count is valid. Missing cost, uncertain quantity, negative physical count and missing SKU remain blank where unsupported. Conflicting description is withheld. Known fields on held rows are retained but excluded from value totals.</x:v>
      </x:c>
    </x:row>
    <x:row r="15" ht="72" customHeight="1">
      <x:c r="A15" s="2" t="str">
        <x:v>Valuation</x:v>
      </x:c>
      <x:c r="B15" s="14" t="str">
        <x:v>Illustrative USD value equals quantity times source cost per stock unit, rounded to cents per line. Sum only Ready line values. Missing source cost is never copied from Reference. This subtotal excludes unresolved stock and is not a full inventory valuation or savings claim.</x:v>
      </x:c>
    </x:row>
    <x:row r="16" ht="72" customHeight="1">
      <x:c r="A16" s="2" t="str">
        <x:v>Review workflow</x:v>
      </x:c>
      <x:c r="B16" s="14" t="str">
        <x:v>Enter owner, evidence, proposed correction and reviewer/date in amber cells. Review stage is a note-taking aid, not approval. Verify every issue for a record, preserve raw inputs, append each authorized change to Audit log, update the normalized fields and disposition, then rerun identity, unit, date, duplicate and total checks.</x:v>
      </x:c>
    </x:row>
    <x:row r="17" ht="72" customHeight="1">
      <x:c r="A17" s="2" t="str">
        <x:v>Refresh boundary</x:v>
      </x:c>
      <x:c r="B17" s="14" t="str">
        <x:v>This is a fixed 60-row rescue snapshot, not an automated import system. Raw edits do not rerun cleaning. Classification and audit entries are static decisions. Only line values and Dashboard metrics recalculate. Adding rows requires extending formulas and Dashboard ranges, revalidating and regenerating CSVs.</x:v>
      </x:c>
    </x:row>
    <x:row r="18" ht="72" customHeight="1">
      <x:c r="A18" s="2" t="str">
        <x:v>Field guide: identity</x:v>
      </x:c>
      <x:c r="B18" s="14" t="str">
        <x:v>Record ID is the immutable imported-row key. Count reference identifies the source count. SKU is text. Description records the supplied part description after safe whitespace normalization. Bin is the physical storage location.</x:v>
      </x:c>
    </x:row>
    <x:row r="19" ht="72" customHeight="1">
      <x:c r="A19" s="2" t="str">
        <x:v>Field guide: measures</x:v>
      </x:c>
      <x:c r="B19" s="14" t="str">
        <x:v>Qty is a numeric count or amount in UOM. EA = each, M = metres, KG = kilograms, L = litres. Unit cost USD is per one stated unit. Count date is the physical-count date. Blank does not mean zero.</x:v>
      </x:c>
    </x:row>
    <x:row r="20" ht="72" customHeight="1">
      <x:c r="A20" s="2" t="str">
        <x:v>Field guide: decisions</x:v>
      </x:c>
      <x:c r="B20" s="14" t="str">
        <x:v>Disposition controls inclusion in the Ready extract. Issue explains exclusion. Related record links a repeat or conflicting count. Line value USD is calculated only for Ready records. Review queue has one primary issue per held record in this example.</x:v>
      </x:c>
    </x:row>
    <x:row r="21" ht="72" customHeight="1">
      <x:c r="A21" s="2" t="str">
        <x:v>Audit meaning</x:v>
      </x:c>
      <x:c r="B21" s="14" t="str">
        <x:v>Before and After are text representations of field values. Typed number entries record source text converted to numeric values, even when the visible digits match. Date normalization logs use ISO text. Disposition entries document every record decision.</x:v>
      </x:c>
    </x:row>
    <x:row r="22" ht="72" customHeight="1">
      <x:c r="A22" s="2" t="str">
        <x:v>CSV companions</x:v>
      </x:c>
      <x:c r="B22" s="14" t="str">
        <x:v>raw.csv reproduces source text. normalized.csv includes all rows and dispositions. ready.csv includes only the 48 accepted rows. exceptions.csv, audit.csv and reference.csv support review. CSVs are frozen values without formulas or formatting. Import SKU columns as Text to preserve 00127.</x:v>
      </x:c>
    </x:row>
    <x:row r="23" ht="72" customHeight="1">
      <x:c r="A23" s="2" t="str">
        <x:v>Quality checks</x:v>
      </x:c>
      <x:c r="B23" s="14" t="str">
        <x:v>Record IDs are unique. All 60 IDs are conserved. Ready stock keys are unique. Repeat payloads match exactly. Distinct similar SKUs and leading zeros are preserved. Totals are independently recomputed and formula inputs are tested with zero and blank values.</x:v>
      </x:c>
    </x:row>
    <x:row r="24" ht="72" customHeight="1">
      <x:c r="A24" s="2" t="str">
        <x:v>Compatibility</x:v>
      </x:c>
      <x:c r="B24" s="14" t="str">
        <x:v>Created as a macro-free .xlsx with standard Excel formulas and tables. Formula values and visual previews were checked with the workbook calculation engine. Native Microsoft Excel was not used for validation.</x:v>
      </x:c>
    </x:row>
    <x:row r="25" ht="72" customHeight="1">
      <x:c r="A25" s="2" t="str">
        <x:v>Publication</x:v>
      </x:c>
      <x:c r="B25" s="14" t="str">
        <x:v>This is a synthetic demonstration, not client work. Do not describe its illustrative value as recovered money, verified savings, or a customer outcome. Website figures describe the original snapshot and do not update when the workbook is edited.</x:v>
      </x:c>
    </x:row>
  </x:sheetData>
  <x:pageMargins left="0.7" right="0.7" top="0.75" bottom="0.75" header="0.3" footer="0.3"/>
  <x:tableParts count="1">
    <x:tablePart xmlns:r="http://schemas.openxmlformats.org/officeDocument/2006/relationships" r:id="R1bf38a50ac3c42b0"/>
  </x:tableParts>
</x:worksheet>
</file>